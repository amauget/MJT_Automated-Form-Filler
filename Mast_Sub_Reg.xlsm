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3.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_rels/drawing3.xml.rels" ContentType="application/vnd.openxmlformats-package.relationships+xml"/>
  <Override PartName="/xl/drawings/_rels/drawing2.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wmf" ContentType="image/x-wmf"/>
  <Override PartName="/xl/media/image2.png" ContentType="image/png"/>
  <Override PartName="/xl/media/image3.png" ContentType="image/png"/>
  <Override PartName="/xl/media/image4.png" ContentType="image/png"/>
  <Override PartName="/xl/media/image5.png" ContentType="image/png"/>
  <Override PartName="/xl/media/image6.png" ContentType="image/png"/>
  <Override PartName="/xl/media/image7.png" ContentType="image/png"/>
  <Override PartName="/xl/media/image8.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MASTER" sheetId="1" state="visible" r:id="rId4"/>
    <sheet name="AF3000" sheetId="2" state="visible" r:id="rId5"/>
    <sheet name="ReadME" sheetId="3" state="visible" r:id="rId6"/>
  </sheets>
  <definedNames>
    <definedName function="false" hidden="false" localSheetId="0" name="_xlnm.Print_Area" vbProcedure="false">MASTER!$B$1:$AA$49</definedName>
    <definedName function="false" hidden="false" localSheetId="0" name="_xlnm.Print_Titles" vbProcedure="false">MASTER!$10:$11</definedName>
    <definedName function="false" hidden="true" localSheetId="0" name="_xlnm._FilterDatabase" vbProcedure="false">MASTER!$B$11:$AD$49</definedName>
    <definedName function="false" hidden="true" name="_xleta.NOW" vbProcedure="false">#NAME?</definedName>
    <definedName function="false" hidden="false" localSheetId="1" name="Check1" vbProcedure="false">AF3000!$P$13</definedName>
    <definedName function="false" hidden="false" localSheetId="1" name="Check3" vbProcedure="false">AF3000!$A$46</definedName>
    <definedName function="false" hidden="false" localSheetId="1" name="_Hlk504646617" vbProcedure="false">AF3000!$I$22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<sst xmlns="http://schemas.openxmlformats.org/spreadsheetml/2006/main" count="405" uniqueCount="202">
  <si>
    <t xml:space="preserve">RED</t>
  </si>
  <si>
    <t xml:space="preserve">  DISAPPROVED</t>
  </si>
  <si>
    <t xml:space="preserve">GREEN</t>
  </si>
  <si>
    <t xml:space="preserve">  APPROVED</t>
  </si>
  <si>
    <t xml:space="preserve">PINK</t>
  </si>
  <si>
    <t xml:space="preserve">CLOSEOUT</t>
  </si>
  <si>
    <t xml:space="preserve">PURPLE</t>
  </si>
  <si>
    <t xml:space="preserve">  N/A</t>
  </si>
  <si>
    <t xml:space="preserve">ORANGE</t>
  </si>
  <si>
    <t xml:space="preserve">  SUBMITTED</t>
  </si>
  <si>
    <t xml:space="preserve">Select box to enable automatic timestamp for date submitted</t>
  </si>
  <si>
    <t xml:space="preserve">BLUE</t>
  </si>
  <si>
    <t xml:space="preserve">READY TO SUBMIT</t>
  </si>
  <si>
    <t xml:space="preserve">GREY</t>
  </si>
  <si>
    <t xml:space="preserve">IN WORK</t>
  </si>
  <si>
    <r>
      <rPr>
        <b val="true"/>
        <sz val="18"/>
        <rFont val="Arial"/>
        <family val="2"/>
        <charset val="1"/>
      </rPr>
      <t xml:space="preserve">FAIRCHILD AFB SUBMITTAL REGISTER - </t>
    </r>
    <r>
      <rPr>
        <b val="true"/>
        <sz val="18"/>
        <color rgb="FFFF0000"/>
        <rFont val="Arial"/>
        <family val="2"/>
        <charset val="1"/>
      </rPr>
      <t xml:space="preserve">PROJECT NAME</t>
    </r>
  </si>
  <si>
    <t xml:space="preserve">PROJECT NUMBER:</t>
  </si>
  <si>
    <t xml:space="preserve">24F5012</t>
  </si>
  <si>
    <t xml:space="preserve">#of submittals</t>
  </si>
  <si>
    <t xml:space="preserve"># submitted</t>
  </si>
  <si>
    <t xml:space="preserve">% submitted</t>
  </si>
  <si>
    <t xml:space="preserve"># approved</t>
  </si>
  <si>
    <t xml:space="preserve">% approved</t>
  </si>
  <si>
    <t xml:space="preserve">Submittal Status</t>
  </si>
  <si>
    <t xml:space="preserve">PHASE 1</t>
  </si>
  <si>
    <t xml:space="preserve">NTP PHASE I:</t>
  </si>
  <si>
    <t xml:space="preserve">PHASE 2</t>
  </si>
  <si>
    <t xml:space="preserve">PHASE I COMPLETTION DATE:</t>
  </si>
  <si>
    <t xml:space="preserve">PHASE 3</t>
  </si>
  <si>
    <t xml:space="preserve">SUBMITTAL TYPE</t>
  </si>
  <si>
    <t xml:space="preserve">Add Hyperlinks</t>
  </si>
  <si>
    <t xml:space="preserve">SUBMITTAL NUMBER</t>
  </si>
  <si>
    <t xml:space="preserve">CONTRACT REFERENCE</t>
  </si>
  <si>
    <t xml:space="preserve">ITEM DESCRIPTION</t>
  </si>
  <si>
    <t xml:space="preserve">INFORMATION ONLY</t>
  </si>
  <si>
    <t xml:space="preserve">GOV'T APPROVAL REQ'D</t>
  </si>
  <si>
    <t xml:space="preserve">COMPLIANCE CERTIFICATE</t>
  </si>
  <si>
    <t xml:space="preserve">SHOP DRAWING</t>
  </si>
  <si>
    <t xml:space="preserve">PRODUCT SAMPLE</t>
  </si>
  <si>
    <t xml:space="preserve">SAMPLES</t>
  </si>
  <si>
    <t xml:space="preserve">MANUF RECOMMENDATIONS</t>
  </si>
  <si>
    <t xml:space="preserve">WARRANTY</t>
  </si>
  <si>
    <t xml:space="preserve">PRODUCT DATA</t>
  </si>
  <si>
    <t xml:space="preserve">OPERATING INSTRUCTION</t>
  </si>
  <si>
    <t xml:space="preserve">SCHEDULE</t>
  </si>
  <si>
    <t xml:space="preserve">DESIGN</t>
  </si>
  <si>
    <t xml:space="preserve">OTHER</t>
  </si>
  <si>
    <t xml:space="preserve">SUBMITTAL TYPE </t>
  </si>
  <si>
    <t xml:space="preserve">RESPONSIBLE PARTY</t>
  </si>
  <si>
    <t xml:space="preserve">DATE PROVIDED TO CONTRACTING OFFICER</t>
  </si>
  <si>
    <t xml:space="preserve">DATE OF C.O. APPROVAL</t>
  </si>
  <si>
    <t xml:space="preserve">DATE OF C.O. DISAPPROVAL </t>
  </si>
  <si>
    <t xml:space="preserve">DATE RESUBMITTED TO CONTRACTING OFFICER</t>
  </si>
  <si>
    <t xml:space="preserve">DAYS IN REVIEW</t>
  </si>
  <si>
    <t xml:space="preserve">REMARKS</t>
  </si>
  <si>
    <t xml:space="preserve">PDF</t>
  </si>
  <si>
    <t xml:space="preserve">01 33 00</t>
  </si>
  <si>
    <t xml:space="preserve">Submittal Register</t>
  </si>
  <si>
    <t xml:space="preserve">X</t>
  </si>
  <si>
    <t xml:space="preserve">Phase 1</t>
  </si>
  <si>
    <t xml:space="preserve">MJT</t>
  </si>
  <si>
    <t xml:space="preserve">Revised as circumstances require</t>
  </si>
  <si>
    <t xml:space="preserve">01 40 00</t>
  </si>
  <si>
    <t xml:space="preserve">Quality Control Plan</t>
  </si>
  <si>
    <t xml:space="preserve">Division A - A.1.B</t>
  </si>
  <si>
    <t xml:space="preserve">35% Project Design</t>
  </si>
  <si>
    <t xml:space="preserve">35% AutoCADs</t>
  </si>
  <si>
    <t xml:space="preserve">65% Project Design</t>
  </si>
  <si>
    <t xml:space="preserve">65% AutoCADs</t>
  </si>
  <si>
    <t xml:space="preserve">95% Project Design</t>
  </si>
  <si>
    <t xml:space="preserve">95% AutoCADs</t>
  </si>
  <si>
    <t xml:space="preserve">100% Project Design</t>
  </si>
  <si>
    <t xml:space="preserve">100% AutoCADs</t>
  </si>
  <si>
    <t xml:space="preserve">01 11 00 -1.6</t>
  </si>
  <si>
    <t xml:space="preserve">Construction Notification</t>
  </si>
  <si>
    <t xml:space="preserve">Due 7 days prior to physical construction </t>
  </si>
  <si>
    <t xml:space="preserve">01 11 00 -1.9</t>
  </si>
  <si>
    <t xml:space="preserve">FAFB Form 103 (Dig Permit)</t>
  </si>
  <si>
    <t xml:space="preserve">01 11 00 -1.12</t>
  </si>
  <si>
    <t xml:space="preserve">Staging Area</t>
  </si>
  <si>
    <t xml:space="preserve">01 11 00 -1.14</t>
  </si>
  <si>
    <t xml:space="preserve">Site Specific Safety Plan</t>
  </si>
  <si>
    <t xml:space="preserve">Fall Protection Plan</t>
  </si>
  <si>
    <t xml:space="preserve">01 31 00 -1.4.B</t>
  </si>
  <si>
    <t xml:space="preserve">Staff Names</t>
  </si>
  <si>
    <t xml:space="preserve">01 33 00 -3.03</t>
  </si>
  <si>
    <t xml:space="preserve">AF 3064</t>
  </si>
  <si>
    <t xml:space="preserve">AF 3065</t>
  </si>
  <si>
    <t xml:space="preserve">01 35 43 -1.05</t>
  </si>
  <si>
    <t xml:space="preserve">Dust Control Plan</t>
  </si>
  <si>
    <t xml:space="preserve">01 35 43 -1.07</t>
  </si>
  <si>
    <t xml:space="preserve">SWPPP &amp; NOI</t>
  </si>
  <si>
    <t xml:space="preserve">01 35 43 -1.08</t>
  </si>
  <si>
    <t xml:space="preserve">Solid Waste Disposal Plan</t>
  </si>
  <si>
    <t xml:space="preserve">01 35 43 -1.11</t>
  </si>
  <si>
    <t xml:space="preserve">Contractor Hazardous Material Worksheet**Not Required for FAFB**</t>
  </si>
  <si>
    <t xml:space="preserve">01 35 43 .1.14</t>
  </si>
  <si>
    <t xml:space="preserve">LBP Work Plan</t>
  </si>
  <si>
    <t xml:space="preserve"> </t>
  </si>
  <si>
    <t xml:space="preserve">01 35 43 -.1.14.A</t>
  </si>
  <si>
    <t xml:space="preserve">Hazardous Materials Survey</t>
  </si>
  <si>
    <t xml:space="preserve">01 35 43 -.1.14.B</t>
  </si>
  <si>
    <t xml:space="preserve">Haz Mat Abatement Work Plan</t>
  </si>
  <si>
    <t xml:space="preserve">01 50 00 -1.10.A</t>
  </si>
  <si>
    <t xml:space="preserve">Site Plan</t>
  </si>
  <si>
    <t xml:space="preserve">01 73 29 -1.03.A</t>
  </si>
  <si>
    <t xml:space="preserve">Cutting and Patching Proposal</t>
  </si>
  <si>
    <t xml:space="preserve">01 77 00 -1.05.A</t>
  </si>
  <si>
    <t xml:space="preserve">Draft DD1354</t>
  </si>
  <si>
    <t xml:space="preserve">013543-1.08.D.1</t>
  </si>
  <si>
    <t xml:space="preserve">Solid Waste Disposal Tracking</t>
  </si>
  <si>
    <t xml:space="preserve">Phase 2</t>
  </si>
  <si>
    <t xml:space="preserve">Due Quarterly</t>
  </si>
  <si>
    <t xml:space="preserve">017823-3.3.A</t>
  </si>
  <si>
    <t xml:space="preserve">Preliminary O&amp;M Manual</t>
  </si>
  <si>
    <t xml:space="preserve">017839-1.2.B</t>
  </si>
  <si>
    <t xml:space="preserve">Preliminary As-Built Field Data Redlines</t>
  </si>
  <si>
    <t xml:space="preserve">Interim DD1354</t>
  </si>
  <si>
    <t xml:space="preserve">013543-1.11.E</t>
  </si>
  <si>
    <t xml:space="preserve">C.H.M.W. - SDS Out</t>
  </si>
  <si>
    <t xml:space="preserve">Phase 3</t>
  </si>
  <si>
    <t xml:space="preserve">013543-1.8.D</t>
  </si>
  <si>
    <t xml:space="preserve">Solid Waste Disposal Closeout</t>
  </si>
  <si>
    <t xml:space="preserve">017700-1.03.A</t>
  </si>
  <si>
    <t xml:space="preserve">Final DD1354</t>
  </si>
  <si>
    <t xml:space="preserve">017823-3.01</t>
  </si>
  <si>
    <t xml:space="preserve">Final O &amp; M Manual</t>
  </si>
  <si>
    <t xml:space="preserve">017839-1.2.D</t>
  </si>
  <si>
    <t xml:space="preserve">As Built Record Drawings</t>
  </si>
  <si>
    <t xml:space="preserve">028200-1.3.C</t>
  </si>
  <si>
    <t xml:space="preserve">Asbestos Post-Work Project Documentation</t>
  </si>
  <si>
    <t xml:space="preserve">IRS</t>
  </si>
  <si>
    <r>
      <rPr>
        <sz val="11"/>
        <rFont val="Arial"/>
        <family val="2"/>
        <charset val="1"/>
      </rPr>
      <t xml:space="preserve">MATERIAL APPROVAL SUBMITTAL
</t>
    </r>
    <r>
      <rPr>
        <sz val="7"/>
        <rFont val="Arial"/>
        <family val="2"/>
        <charset val="1"/>
      </rPr>
      <t xml:space="preserve">(See Instructions on Reverse)</t>
    </r>
  </si>
  <si>
    <t xml:space="preserve">Form Approved
OMB No 9000-0062
Expires Apr 30, 1993</t>
  </si>
  <si>
    <t xml:space="preserve">Public reporting burden for this collection of information is estimated to average 20 minutes per response, including the time for reviewing instructions, searching existing data sources, gathering and maintaining the data needed, and completing and reviewing the collection of information.  Send comments regarding this burden estimate or any other aspect of this collection of  information, including suggestions for reducing this burden to the Department of Defense, Washington Headquarters Services, Directorate for Information Operations and Reports, 1216 Jefferson Davis Highway, Suite 1204, Arlington VA 22202-4302, and to Office of Management and Budget, Paperwork Reduction Project OMB No 9000-0062, Washington, DC 20603.  Please DO NOT RETURN your form to either of these addresses.  Send your completed form to:  SAF/AOCO, Pentagon, Washington DC 20330-1000.</t>
  </si>
  <si>
    <t xml:space="preserve">TO: (Contracting Officer)
</t>
  </si>
  <si>
    <t xml:space="preserve">FROM: (Contractor)
</t>
  </si>
  <si>
    <t xml:space="preserve">DATE
</t>
  </si>
  <si>
    <t xml:space="preserve">To: Contracting Officer
CC: Immediate Superior</t>
  </si>
  <si>
    <t xml:space="preserve">Takisaki Construction</t>
  </si>
  <si>
    <t xml:space="preserve">CONTRACT NUMBER</t>
  </si>
  <si>
    <t xml:space="preserve">SUBMISSION NUMBER</t>
  </si>
  <si>
    <t xml:space="preserve">SUBMITTAL</t>
  </si>
  <si>
    <t xml:space="preserve">NEW</t>
  </si>
  <si>
    <t xml:space="preserve">RESUBMITTAL</t>
  </si>
  <si>
    <r>
      <rPr>
        <sz val="7"/>
        <rFont val="Arial"/>
        <family val="2"/>
        <charset val="1"/>
      </rPr>
      <t xml:space="preserve">PREVIOUS SUBMISSION NUMBER</t>
    </r>
    <r>
      <rPr>
        <sz val="9"/>
        <rFont val="Arial"/>
        <family val="2"/>
        <charset val="1"/>
      </rPr>
      <t xml:space="preserve">           </t>
    </r>
  </si>
  <si>
    <t xml:space="preserve">PROJECT NUMBER</t>
  </si>
  <si>
    <t xml:space="preserve">TO BE COMPLETED BY CONTRACTOR</t>
  </si>
  <si>
    <t xml:space="preserve">FOR GOVERNMENT USE ONLY</t>
  </si>
  <si>
    <t xml:space="preserve">SUB NO.</t>
  </si>
  <si>
    <t xml:space="preserve">SPECIFICATION SECTION                                                     PARA N/ DRAWING NO.</t>
  </si>
  <si>
    <t xml:space="preserve">DESCRIPTION OF MATERIAL
(Include Type, Model Number, Catalog Number, Mfg. Etc.)</t>
  </si>
  <si>
    <t xml:space="preserve">APPROVED</t>
  </si>
  <si>
    <t xml:space="preserve">DISAP-PPROVED</t>
  </si>
  <si>
    <t xml:space="preserve">SEE REVERSE</t>
  </si>
  <si>
    <t xml:space="preserve">INITIAL</t>
  </si>
  <si>
    <t xml:space="preserve">    SUBMITTAL/ITEM:     </t>
  </si>
  <si>
    <t xml:space="preserve">    APPROVED:  </t>
  </si>
  <si>
    <t xml:space="preserve">    DATE OF REVIEW:</t>
  </si>
  <si>
    <t xml:space="preserve">    CQC SIGNATURE: </t>
  </si>
  <si>
    <t xml:space="preserve">CM Signature</t>
  </si>
  <si>
    <t xml:space="preserve">BY COMPLETING THIS FORM, THE UNDERSIGNED CONTRACTOR CERTIFIED THAT
THE MATERIAL COMPLIES WITH ALL SPECIFICATIONS OF SUBJECT CONTRACT.</t>
  </si>
  <si>
    <t xml:space="preserve">DATE</t>
  </si>
  <si>
    <t xml:space="preserve">TYPE OR PRINT NAME AND TITLE</t>
  </si>
  <si>
    <t xml:space="preserve">SIGNATURE</t>
  </si>
  <si>
    <t xml:space="preserve">Full Name , Project Manager</t>
  </si>
  <si>
    <t xml:space="preserve">Signature Here</t>
  </si>
  <si>
    <t xml:space="preserve">TO: (base Civil Engineering Officer) 
</t>
  </si>
  <si>
    <t xml:space="preserve">For Evaluation and Action</t>
  </si>
  <si>
    <t xml:space="preserve">TYPE OR PRINT NAME AND GRADE
</t>
  </si>
  <si>
    <t xml:space="preserve">SIGNATURE                                             </t>
  </si>
  <si>
    <t xml:space="preserve">TO:  (AF Contracting Office)
</t>
  </si>
  <si>
    <t xml:space="preserve"> RECOMMEND      |           |     APPROVAL       |           |    DISAPPROVAL AS INDICATED ABOVE AND SUBJECT TO ANY APPLICABLE COMMENTS ON THE REVERSE</t>
  </si>
  <si>
    <t xml:space="preserve">AF FORM 3000, SEP 91 (EF)</t>
  </si>
  <si>
    <t xml:space="preserve">PREVIOUS EDITION IS OBSOLETE.</t>
  </si>
  <si>
    <t xml:space="preserve">COMMENTS</t>
  </si>
  <si>
    <t xml:space="preserve">(Number of correspond with applicable Item Number on reverse)</t>
  </si>
  <si>
    <t xml:space="preserve">INSTRUCTIONS TO CONTRACTORS</t>
  </si>
  <si>
    <t xml:space="preserve">1.	The term “material” is defined as articles, supplies, raw materials, equipment, parts, components, and end items that are to be incorporated into the work required by the contract.</t>
  </si>
  <si>
    <t xml:space="preserve">2.	This form is to be used by contractors for submitting Shop Drawings, Equipment Data, Manufacturer’s Literature and Certificates and samples of Materials to the Government for approval in accordance with the provisions of this contract.  Unless otherwise specified, it is to be prepared in 4 copies, signed, and provided to the contracting officer with appropriate attachments.</t>
  </si>
  <si>
    <t xml:space="preserve">3.	Item(s) to be approved will be clearly tabbed or identified.  Data pertaining to item(s) to be approved will be clearly identified or tabbed, particularly where documents are voluminous, in order to properly evaluate the materials or articles to be incorporated in the work.  Each attachment will be numbered to correspond with the item number shown on the face of this form.</t>
  </si>
  <si>
    <t xml:space="preserve">4.	Requests submitted shall be numbered consecutively, by contract, in the space entitled “Submission No.”.  This number, in addition to the Contract No. will be used to identify each Material Approval Submittal.  Resubmissions will be indicated in the appropriate block and the insertion of previous submission number and data in addition to a new submission number.  A single submission should be used for all work of a section of the specifications, but in NO instance should the submission include work for more than one (1) contract.  Submittals requiring priority handling will be submitted by separate submittal using the form and so marked across the face of the form.</t>
  </si>
  <si>
    <t xml:space="preserve">5.	This Material Approval Submittal is not valid unless it is signed by the contracting officer.  This approval is required as called for by the contracting officer under the terms of this contract.</t>
  </si>
  <si>
    <r>
      <rPr>
        <sz val="10"/>
        <rFont val="Arial"/>
        <family val="2"/>
        <charset val="1"/>
      </rPr>
      <t xml:space="preserve">  AF FORM 3000, SEP 91 </t>
    </r>
    <r>
      <rPr>
        <i val="true"/>
        <sz val="10"/>
        <rFont val="Arial"/>
        <family val="2"/>
        <charset val="1"/>
      </rPr>
      <t xml:space="preserve">(EF) (REVERSE)</t>
    </r>
  </si>
  <si>
    <t xml:space="preserve">If you select the check box that looks like this on the submittal register, it'll automatically fill in a submission date too.</t>
  </si>
  <si>
    <t xml:space="preserve">Possible PDF Problems and Solutions</t>
  </si>
  <si>
    <t xml:space="preserve">SEE BASIC GROUND RULES HERE ------&gt; </t>
  </si>
  <si>
    <t xml:space="preserve">Do not add columns to the left of column C within the submittal register</t>
  </si>
  <si>
    <t xml:space="preserve">Adding or subtracting either rows OR columns to the AF3000 will require change to the VBA code. There are instructions below</t>
  </si>
  <si>
    <t xml:space="preserve">PDF isn't showing up in the 3000 folder</t>
  </si>
  <si>
    <t xml:space="preserve">Wait a minute or two. Sometimes onedrive has a delay before syncing the file to your computer.</t>
  </si>
  <si>
    <t xml:space="preserve">Check the name of your AF3000 output folder. It must be EXACTLY "AF3000_Work_Fldr". Any extra spaces, missing characters or mismatching cases for letters will prevent output.</t>
  </si>
  <si>
    <t xml:space="preserve">a.</t>
  </si>
  <si>
    <t xml:space="preserve">For the tech savy, this file is server based, and VBA only supports local paths from C:. At the time of writing, there are no reliable VBA libraries to allow for server/sharepoint directory creation. </t>
  </si>
  <si>
    <t xml:space="preserve">Lastly, you can open vba by pressing Alt &amp; F11 at the same time. On the left, you'll see your sheets and 2 modules, like the image below.</t>
  </si>
  <si>
    <t xml:space="preserve">Click on module 2 to view the save to PDF function</t>
  </si>
  <si>
    <t xml:space="preserve">make sure that the variable(and whole function) "pdfFolder" looks exactly like the image above. pdfFolder should be exactly as is show below.</t>
  </si>
  <si>
    <t xml:space="preserve">AF3000 has had row or columns added/subtracted</t>
  </si>
  <si>
    <t xml:space="preserve">open VBA (Alt + F11)</t>
  </si>
  <si>
    <t xml:space="preserve">Navigate to sheet one, like in the image below. Note that the name will depend on what you've named the file/sheet.</t>
  </si>
  <si>
    <t xml:space="preserve">Change your output cell locations within this section of code. There are more in depth instructions within the function (green text)</t>
  </si>
  <si>
    <t xml:space="preserve">Save your VBA Page before exiting</t>
  </si>
</sst>
</file>

<file path=xl/styles.xml><?xml version="1.0" encoding="utf-8"?>
<styleSheet xmlns="http://schemas.openxmlformats.org/spreadsheetml/2006/main">
  <numFmts count="7">
    <numFmt numFmtId="164" formatCode="General"/>
    <numFmt numFmtId="165" formatCode="0%"/>
    <numFmt numFmtId="166" formatCode="m/d/yyyy"/>
    <numFmt numFmtId="167" formatCode="0"/>
    <numFmt numFmtId="168" formatCode="0000000"/>
    <numFmt numFmtId="169" formatCode="000000"/>
    <numFmt numFmtId="170" formatCode="d\-mmm\-yy"/>
  </numFmts>
  <fonts count="36">
    <font>
      <sz val="12"/>
      <name val="Arial"/>
      <family val="0"/>
      <charset val="1"/>
    </font>
    <font>
      <sz val="10"/>
      <name val="Arial"/>
      <family val="0"/>
    </font>
    <font>
      <sz val="10"/>
      <name val="Arial"/>
      <family val="0"/>
    </font>
    <font>
      <sz val="10"/>
      <name val="Arial"/>
      <family val="0"/>
    </font>
    <font>
      <sz val="11"/>
      <color theme="1"/>
      <name val="Calibri"/>
      <family val="2"/>
      <charset val="1"/>
    </font>
    <font>
      <sz val="12"/>
      <name val="Arial"/>
      <family val="2"/>
      <charset val="1"/>
    </font>
    <font>
      <sz val="11"/>
      <color rgb="FF000000"/>
      <name val="Arial"/>
      <family val="2"/>
      <charset val="1"/>
    </font>
    <font>
      <sz val="12"/>
      <color theme="0"/>
      <name val="Arial"/>
      <family val="2"/>
      <charset val="1"/>
    </font>
    <font>
      <b val="true"/>
      <sz val="12"/>
      <name val="Arial"/>
      <family val="2"/>
      <charset val="1"/>
    </font>
    <font>
      <b val="true"/>
      <sz val="18"/>
      <name val="Arial"/>
      <family val="2"/>
      <charset val="1"/>
    </font>
    <font>
      <b val="true"/>
      <sz val="18"/>
      <color rgb="FFFF0000"/>
      <name val="Arial"/>
      <family val="2"/>
      <charset val="1"/>
    </font>
    <font>
      <b val="true"/>
      <sz val="8"/>
      <name val="Arial"/>
      <family val="2"/>
      <charset val="1"/>
    </font>
    <font>
      <sz val="8"/>
      <name val="Arial"/>
      <family val="2"/>
      <charset val="1"/>
    </font>
    <font>
      <b val="true"/>
      <sz val="14"/>
      <name val="Arial"/>
      <family val="2"/>
      <charset val="1"/>
    </font>
    <font>
      <b val="true"/>
      <sz val="11"/>
      <name val="Arial"/>
      <family val="2"/>
      <charset val="1"/>
    </font>
    <font>
      <sz val="11"/>
      <name val="Arial"/>
      <family val="2"/>
      <charset val="1"/>
    </font>
    <font>
      <sz val="12"/>
      <name val="Calibri"/>
      <family val="2"/>
      <charset val="1"/>
    </font>
    <font>
      <u val="single"/>
      <sz val="12"/>
      <color theme="10"/>
      <name val="Arial"/>
      <family val="2"/>
      <charset val="1"/>
    </font>
    <font>
      <sz val="12"/>
      <name val="Arial Narrow"/>
      <family val="2"/>
      <charset val="1"/>
    </font>
    <font>
      <u val="single"/>
      <sz val="14"/>
      <color theme="10"/>
      <name val="Arial"/>
      <family val="2"/>
      <charset val="1"/>
    </font>
    <font>
      <sz val="12"/>
      <color rgb="FF000000"/>
      <name val="Arial"/>
      <family val="2"/>
      <charset val="1"/>
    </font>
    <font>
      <sz val="7"/>
      <name val="Arial"/>
      <family val="2"/>
      <charset val="1"/>
    </font>
    <font>
      <sz val="5"/>
      <name val="Arial"/>
      <family val="2"/>
      <charset val="1"/>
    </font>
    <font>
      <b val="true"/>
      <sz val="9"/>
      <name val="Arial"/>
      <family val="2"/>
      <charset val="1"/>
    </font>
    <font>
      <sz val="9"/>
      <name val="Arial"/>
      <family val="2"/>
      <charset val="1"/>
    </font>
    <font>
      <sz val="6"/>
      <name val="Arial"/>
      <family val="2"/>
      <charset val="1"/>
    </font>
    <font>
      <sz val="5.5"/>
      <name val="Arial"/>
      <family val="2"/>
      <charset val="1"/>
    </font>
    <font>
      <i val="true"/>
      <sz val="12"/>
      <name val="Arial"/>
      <family val="2"/>
      <charset val="1"/>
    </font>
    <font>
      <i val="true"/>
      <u val="single"/>
      <sz val="12"/>
      <name val="Arial"/>
      <family val="2"/>
      <charset val="1"/>
    </font>
    <font>
      <i val="true"/>
      <sz val="12"/>
      <color theme="4" tint="-0.25"/>
      <name val="Vladimir Script"/>
      <family val="4"/>
      <charset val="1"/>
    </font>
    <font>
      <b val="true"/>
      <sz val="14"/>
      <color theme="4" tint="-0.25"/>
      <name val="Vladimir Script"/>
      <family val="4"/>
      <charset val="1"/>
    </font>
    <font>
      <sz val="10"/>
      <name val="Arial"/>
      <family val="2"/>
      <charset val="1"/>
    </font>
    <font>
      <i val="true"/>
      <sz val="6"/>
      <name val="Arial"/>
      <family val="2"/>
      <charset val="1"/>
    </font>
    <font>
      <b val="true"/>
      <sz val="7"/>
      <name val="Arial"/>
      <family val="2"/>
      <charset val="1"/>
    </font>
    <font>
      <i val="true"/>
      <sz val="10"/>
      <name val="Arial"/>
      <family val="2"/>
      <charset val="1"/>
    </font>
    <font>
      <b val="true"/>
      <sz val="15"/>
      <name val="Arial"/>
      <family val="2"/>
      <charset val="1"/>
    </font>
  </fonts>
  <fills count="12">
    <fill>
      <patternFill patternType="none"/>
    </fill>
    <fill>
      <patternFill patternType="gray125"/>
    </fill>
    <fill>
      <patternFill patternType="solid">
        <fgColor theme="6" tint="0.5999"/>
        <bgColor rgb="FFF2DCDB"/>
      </patternFill>
    </fill>
    <fill>
      <patternFill patternType="solid">
        <fgColor rgb="FFFF0000"/>
        <bgColor rgb="FF993300"/>
      </patternFill>
    </fill>
    <fill>
      <patternFill patternType="solid">
        <fgColor rgb="FF92D050"/>
        <bgColor rgb="FFA6A6A6"/>
      </patternFill>
    </fill>
    <fill>
      <patternFill patternType="solid">
        <fgColor theme="5" tint="0.7999"/>
        <bgColor rgb="FFD7E4BD"/>
      </patternFill>
    </fill>
    <fill>
      <patternFill patternType="solid">
        <fgColor rgb="FF7030A0"/>
        <bgColor rgb="FF993366"/>
      </patternFill>
    </fill>
    <fill>
      <patternFill patternType="solid">
        <fgColor rgb="FFFFC000"/>
        <bgColor rgb="FFFF9900"/>
      </patternFill>
    </fill>
    <fill>
      <patternFill patternType="solid">
        <fgColor theme="5" tint="0.5999"/>
        <bgColor rgb="FFFF99CC"/>
      </patternFill>
    </fill>
    <fill>
      <patternFill patternType="solid">
        <fgColor theme="3" tint="0.3999"/>
        <bgColor rgb="FF3366FF"/>
      </patternFill>
    </fill>
    <fill>
      <patternFill patternType="solid">
        <fgColor theme="0" tint="-0.35"/>
        <bgColor rgb="FF9999FF"/>
      </patternFill>
    </fill>
    <fill>
      <patternFill patternType="solid">
        <fgColor rgb="FFFFFFFF"/>
        <bgColor rgb="FFFFFFCC"/>
      </patternFill>
    </fill>
  </fills>
  <borders count="22">
    <border diagonalUp="false" diagonalDown="false">
      <left/>
      <right/>
      <top/>
      <bottom/>
      <diagonal/>
    </border>
    <border diagonalUp="false" diagonalDown="false">
      <left style="thin"/>
      <right/>
      <top/>
      <bottom/>
      <diagonal/>
    </border>
    <border diagonalUp="false" diagonalDown="false">
      <left style="thin"/>
      <right style="thin"/>
      <top style="thin"/>
      <bottom style="thin"/>
      <diagonal/>
    </border>
    <border diagonalUp="false" diagonalDown="false">
      <left/>
      <right/>
      <top style="thin"/>
      <bottom style="thin"/>
      <diagonal/>
    </border>
    <border diagonalUp="false" diagonalDown="false">
      <left style="thin"/>
      <right/>
      <top style="thin"/>
      <bottom style="thin"/>
      <diagonal/>
    </border>
    <border diagonalUp="false" diagonalDown="false">
      <left/>
      <right/>
      <top style="thin"/>
      <bottom/>
      <diagonal/>
    </border>
    <border diagonalUp="false" diagonalDown="false">
      <left/>
      <right/>
      <top/>
      <bottom style="thin"/>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right style="thin"/>
      <top style="thin"/>
      <bottom/>
      <diagonal/>
    </border>
    <border diagonalUp="false" diagonalDown="false">
      <left style="thin"/>
      <right style="thin"/>
      <top/>
      <bottom style="thin"/>
      <diagonal/>
    </border>
    <border diagonalUp="false" diagonalDown="false">
      <left style="thin"/>
      <right/>
      <top/>
      <bottom style="thin"/>
      <diagonal/>
    </border>
    <border diagonalUp="false" diagonalDown="false">
      <left/>
      <right style="thin"/>
      <top/>
      <bottom style="thin"/>
      <diagonal/>
    </border>
    <border diagonalUp="false" diagonalDown="false">
      <left style="thin"/>
      <right style="thin"/>
      <top/>
      <bottom/>
      <diagonal/>
    </border>
    <border diagonalUp="false" diagonalDown="false">
      <left/>
      <right style="thin"/>
      <top/>
      <bottom/>
      <diagonal/>
    </border>
    <border diagonalUp="false" diagonalDown="false">
      <left style="thin"/>
      <right/>
      <top style="thin"/>
      <bottom/>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top/>
      <bottom style="medium"/>
      <diagonal/>
    </border>
    <border diagonalUp="false" diagonalDown="false">
      <left/>
      <right style="medium"/>
      <top/>
      <bottom style="medium"/>
      <diagonal/>
    </border>
  </borders>
  <cellStyleXfs count="28">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164" fontId="17" fillId="0" borderId="0" applyFont="true" applyBorder="false" applyAlignment="true" applyProtection="false">
      <alignment horizontal="general" vertical="bottom" textRotation="0" wrapText="false" indent="0" shrinkToFit="false"/>
    </xf>
    <xf numFmtId="164" fontId="4" fillId="2" borderId="0" applyFont="true" applyBorder="false" applyAlignment="true" applyProtection="false">
      <alignment horizontal="general" vertical="bottom" textRotation="0" wrapText="false" indent="0" shrinkToFit="false"/>
    </xf>
    <xf numFmtId="164" fontId="4" fillId="2" borderId="0" applyFont="true" applyBorder="false" applyAlignment="true" applyProtection="false">
      <alignment horizontal="general" vertical="bottom" textRotation="0" wrapText="false" indent="0" shrinkToFit="false"/>
    </xf>
    <xf numFmtId="164" fontId="4" fillId="2"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false" applyAlignment="true" applyProtection="false">
      <alignment horizontal="general" vertical="bottom" textRotation="0" wrapText="false" indent="0" shrinkToFit="false"/>
    </xf>
    <xf numFmtId="164" fontId="4" fillId="2" borderId="0" applyFont="true" applyBorder="false" applyAlignment="true" applyProtection="false">
      <alignment horizontal="general" vertical="bottom" textRotation="0" wrapText="false" indent="0" shrinkToFit="false"/>
    </xf>
  </cellStyleXfs>
  <cellXfs count="18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bottom" textRotation="0" wrapText="true" indent="0" shrinkToFit="false"/>
      <protection locked="true" hidden="false"/>
    </xf>
    <xf numFmtId="164" fontId="5" fillId="0" borderId="0" xfId="0" applyFont="true" applyBorder="false" applyAlignment="true" applyProtection="true">
      <alignment horizontal="left" vertical="bottom" textRotation="0" wrapText="true" indent="1"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5" fillId="0" borderId="0" xfId="0" applyFont="true" applyBorder="false" applyAlignment="true" applyProtection="true">
      <alignment horizontal="center" vertical="bottom" textRotation="0" wrapText="true" indent="0" shrinkToFit="false"/>
      <protection locked="true" hidden="false"/>
    </xf>
    <xf numFmtId="164" fontId="7" fillId="3" borderId="0" xfId="0" applyFont="true" applyBorder="true" applyAlignment="true" applyProtection="true">
      <alignment horizontal="center" vertical="bottom" textRotation="0" wrapText="tru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5" fillId="4" borderId="1" xfId="0" applyFont="true" applyBorder="true" applyAlignment="true" applyProtection="true">
      <alignment horizontal="center" vertical="bottom" textRotation="0" wrapText="true" indent="0" shrinkToFit="false"/>
      <protection locked="true" hidden="false"/>
    </xf>
    <xf numFmtId="164" fontId="5" fillId="0" borderId="0" xfId="0" applyFont="true" applyBorder="true" applyAlignment="true" applyProtection="true">
      <alignment horizontal="left" vertical="bottom" textRotation="0" wrapText="true" indent="0"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true" hidden="false"/>
    </xf>
    <xf numFmtId="164" fontId="5" fillId="5" borderId="1" xfId="0" applyFont="true" applyBorder="true" applyAlignment="true" applyProtection="true">
      <alignment horizontal="general" vertical="bottom" textRotation="0" wrapText="true" indent="0" shrinkToFit="false"/>
      <protection locked="true" hidden="false"/>
    </xf>
    <xf numFmtId="164" fontId="7" fillId="6" borderId="0" xfId="0" applyFont="true" applyBorder="true" applyAlignment="true" applyProtection="true">
      <alignment horizontal="center" vertical="bottom" textRotation="0" wrapText="true" indent="0" shrinkToFit="false"/>
      <protection locked="true" hidden="false"/>
    </xf>
    <xf numFmtId="164" fontId="5" fillId="7" borderId="0" xfId="0" applyFont="true" applyBorder="true" applyAlignment="true" applyProtection="true">
      <alignment horizontal="center" vertical="bottom" textRotation="0" wrapText="true" indent="0" shrinkToFit="false"/>
      <protection locked="true" hidden="false"/>
    </xf>
    <xf numFmtId="164" fontId="0" fillId="8" borderId="0" xfId="0" applyFont="false" applyBorder="false" applyAlignment="true" applyProtection="true">
      <alignment horizontal="center" vertical="bottom" textRotation="0" wrapText="true" indent="0" shrinkToFit="false"/>
      <protection locked="true" hidden="false"/>
    </xf>
    <xf numFmtId="164" fontId="8" fillId="8" borderId="0" xfId="0" applyFont="true" applyBorder="false" applyAlignment="true" applyProtection="true">
      <alignment horizontal="center" vertical="bottom" textRotation="0" wrapText="true" indent="0" shrinkToFit="false"/>
      <protection locked="true" hidden="false"/>
    </xf>
    <xf numFmtId="164" fontId="5" fillId="0" borderId="0" xfId="0" applyFont="true" applyBorder="false" applyAlignment="true" applyProtection="true">
      <alignment horizontal="general" vertical="bottom" textRotation="0" wrapText="true" indent="0" shrinkToFit="false"/>
      <protection locked="true" hidden="false"/>
    </xf>
    <xf numFmtId="164" fontId="7" fillId="0" borderId="0" xfId="0" applyFont="true" applyBorder="true" applyAlignment="true" applyProtection="true">
      <alignment horizontal="center" vertical="bottom" textRotation="0" wrapText="true" indent="0" shrinkToFit="false"/>
      <protection locked="true" hidden="false"/>
    </xf>
    <xf numFmtId="164" fontId="5" fillId="9" borderId="0" xfId="0" applyFont="true" applyBorder="true" applyAlignment="true" applyProtection="true">
      <alignment horizontal="center" vertical="bottom" textRotation="0" wrapText="true" indent="0" shrinkToFit="false"/>
      <protection locked="true" hidden="false"/>
    </xf>
    <xf numFmtId="164" fontId="7" fillId="0" borderId="0" xfId="0" applyFont="true" applyBorder="false" applyAlignment="true" applyProtection="true">
      <alignment horizontal="center" vertical="bottom" textRotation="0" wrapText="true" indent="0" shrinkToFit="false"/>
      <protection locked="true" hidden="false"/>
    </xf>
    <xf numFmtId="164" fontId="5" fillId="0" borderId="0" xfId="0" applyFont="true" applyBorder="false" applyAlignment="true" applyProtection="true">
      <alignment horizontal="left" vertical="bottom" textRotation="0" wrapText="true" indent="0" shrinkToFit="false"/>
      <protection locked="true" hidden="false"/>
    </xf>
    <xf numFmtId="164" fontId="0" fillId="0" borderId="0" xfId="0" applyFont="false" applyBorder="false" applyAlignment="true" applyProtection="true">
      <alignment horizontal="left" vertical="bottom" textRotation="0" wrapText="true" indent="0" shrinkToFit="false"/>
      <protection locked="true" hidden="false"/>
    </xf>
    <xf numFmtId="164" fontId="5" fillId="10" borderId="0" xfId="0" applyFont="true" applyBorder="false" applyAlignment="true" applyProtection="true">
      <alignment horizontal="center" vertical="bottom" textRotation="0" wrapText="true" indent="0" shrinkToFit="false"/>
      <protection locked="true" hidden="false"/>
    </xf>
    <xf numFmtId="164" fontId="5" fillId="10" borderId="0" xfId="0" applyFont="true" applyBorder="false" applyAlignment="true" applyProtection="true">
      <alignment horizontal="left" vertical="bottom" textRotation="0" wrapText="true" indent="0" shrinkToFit="false"/>
      <protection locked="true" hidden="false"/>
    </xf>
    <xf numFmtId="164" fontId="5" fillId="0" borderId="0" xfId="0" applyFont="true" applyBorder="false" applyAlignment="true" applyProtection="true">
      <alignment horizontal="left" vertical="bottom" textRotation="0" wrapText="false" indent="0" shrinkToFit="false"/>
      <protection locked="true" hidden="false"/>
    </xf>
    <xf numFmtId="164" fontId="9" fillId="11" borderId="2" xfId="24" applyFont="true" applyBorder="true" applyAlignment="true" applyProtection="true">
      <alignment horizontal="center" vertical="bottom" textRotation="0" wrapText="true" indent="0" shrinkToFit="false"/>
      <protection locked="true" hidden="false"/>
    </xf>
    <xf numFmtId="164" fontId="9" fillId="11" borderId="3" xfId="0" applyFont="true" applyBorder="true" applyAlignment="true" applyProtection="true">
      <alignment horizontal="center" vertical="bottom" textRotation="0" wrapText="true" indent="0" shrinkToFit="false"/>
      <protection locked="true" hidden="false"/>
    </xf>
    <xf numFmtId="164" fontId="8" fillId="0" borderId="2" xfId="0" applyFont="true" applyBorder="true" applyAlignment="true" applyProtection="true">
      <alignment horizontal="center" vertical="center" textRotation="0" wrapText="true" indent="0" shrinkToFit="false"/>
      <protection locked="true" hidden="false"/>
    </xf>
    <xf numFmtId="166" fontId="11" fillId="0" borderId="4" xfId="0" applyFont="true" applyBorder="true" applyAlignment="true" applyProtection="true">
      <alignment horizontal="center" vertical="top" textRotation="0" wrapText="true" indent="0" shrinkToFit="false"/>
      <protection locked="true" hidden="false"/>
    </xf>
    <xf numFmtId="164" fontId="12" fillId="0" borderId="4" xfId="0" applyFont="true" applyBorder="true" applyAlignment="true" applyProtection="true">
      <alignment horizontal="center" vertical="top" textRotation="0" wrapText="true" indent="0" shrinkToFit="false"/>
      <protection locked="true" hidden="false"/>
    </xf>
    <xf numFmtId="164" fontId="13" fillId="0" borderId="4" xfId="0" applyFont="true" applyBorder="true" applyAlignment="true" applyProtection="true">
      <alignment horizontal="right" vertical="top" textRotation="0" wrapText="true" indent="0" shrinkToFit="false"/>
      <protection locked="true" hidden="false"/>
    </xf>
    <xf numFmtId="164" fontId="9" fillId="11" borderId="5" xfId="0" applyFont="true" applyBorder="true" applyAlignment="true" applyProtection="true">
      <alignment horizontal="center" vertical="bottom" textRotation="0" wrapText="true" indent="0" shrinkToFit="false"/>
      <protection locked="true" hidden="false"/>
    </xf>
    <xf numFmtId="164" fontId="14" fillId="11" borderId="5" xfId="0" applyFont="true" applyBorder="true" applyAlignment="true" applyProtection="true">
      <alignment horizontal="center" vertical="bottom" textRotation="0" wrapText="true" indent="0" shrinkToFit="false"/>
      <protection locked="true" hidden="false"/>
    </xf>
    <xf numFmtId="164" fontId="15" fillId="0" borderId="5" xfId="0" applyFont="true" applyBorder="true" applyAlignment="true" applyProtection="true">
      <alignment horizontal="center" vertical="center" textRotation="0" wrapText="true" indent="0" shrinkToFit="false"/>
      <protection locked="true" hidden="false"/>
    </xf>
    <xf numFmtId="164" fontId="15" fillId="0" borderId="5" xfId="0" applyFont="true" applyBorder="true" applyAlignment="true" applyProtection="true">
      <alignment horizontal="general" vertical="center" textRotation="0" wrapText="false" indent="0" shrinkToFit="false"/>
      <protection locked="true" hidden="false"/>
    </xf>
    <xf numFmtId="164" fontId="12" fillId="0" borderId="5" xfId="0" applyFont="true" applyBorder="true" applyAlignment="true" applyProtection="true">
      <alignment horizontal="center" vertical="top" textRotation="0" wrapText="true" indent="0" shrinkToFit="false"/>
      <protection locked="true" hidden="false"/>
    </xf>
    <xf numFmtId="164" fontId="12" fillId="0" borderId="0" xfId="0" applyFont="true" applyBorder="false" applyAlignment="true" applyProtection="true">
      <alignment horizontal="center" vertical="top" textRotation="0" wrapText="true" indent="0" shrinkToFit="false"/>
      <protection locked="true" hidden="false"/>
    </xf>
    <xf numFmtId="164" fontId="13" fillId="0" borderId="0" xfId="0" applyFont="true" applyBorder="false" applyAlignment="true" applyProtection="true">
      <alignment horizontal="right" vertical="top" textRotation="0" wrapText="true" indent="0" shrinkToFit="false"/>
      <protection locked="true" hidden="false"/>
    </xf>
    <xf numFmtId="164" fontId="9" fillId="11" borderId="0" xfId="0" applyFont="true" applyBorder="false" applyAlignment="true" applyProtection="true">
      <alignment horizontal="center" vertical="bottom" textRotation="0" wrapText="true" indent="0" shrinkToFit="false"/>
      <protection locked="true" hidden="false"/>
    </xf>
    <xf numFmtId="164" fontId="15" fillId="0" borderId="0" xfId="0" applyFont="true" applyBorder="false" applyAlignment="true" applyProtection="true">
      <alignment horizontal="right" vertical="bottom" textRotation="0" wrapText="false" indent="0" shrinkToFit="false"/>
      <protection locked="true" hidden="false"/>
    </xf>
    <xf numFmtId="165" fontId="5" fillId="0" borderId="0" xfId="19" applyFont="true" applyBorder="true" applyAlignment="true" applyProtection="true">
      <alignment horizontal="center" vertical="bottom" textRotation="0" wrapText="true" indent="0" shrinkToFit="false"/>
      <protection locked="true" hidden="false"/>
    </xf>
    <xf numFmtId="165" fontId="16" fillId="4" borderId="0" xfId="27" applyFont="true" applyBorder="true" applyAlignment="true" applyProtection="true">
      <alignment horizontal="center" vertical="bottom" textRotation="0" wrapText="true" indent="0" shrinkToFit="false"/>
      <protection locked="true" hidden="false"/>
    </xf>
    <xf numFmtId="164" fontId="13" fillId="0" borderId="0" xfId="0" applyFont="true" applyBorder="false" applyAlignment="true" applyProtection="true">
      <alignment horizontal="left" vertical="top" textRotation="0" wrapText="true" indent="0" shrinkToFit="false"/>
      <protection locked="true" hidden="false"/>
    </xf>
    <xf numFmtId="164" fontId="0" fillId="0" borderId="6" xfId="0" applyFont="false" applyBorder="true" applyAlignment="true" applyProtection="true">
      <alignment horizontal="general" vertical="bottom" textRotation="0" wrapText="false" indent="0" shrinkToFit="false"/>
      <protection locked="true" hidden="false"/>
    </xf>
    <xf numFmtId="164" fontId="17" fillId="0" borderId="0" xfId="20" applyFont="true" applyBorder="true" applyAlignment="true" applyProtection="true">
      <alignment horizontal="center" vertical="bottom" textRotation="0" wrapText="true" indent="0" shrinkToFit="false"/>
      <protection locked="true" hidden="false"/>
    </xf>
    <xf numFmtId="164" fontId="0" fillId="0" borderId="2" xfId="0" applyFont="false" applyBorder="true" applyAlignment="true" applyProtection="true">
      <alignment horizontal="center" vertical="bottom" textRotation="0" wrapText="true" indent="0" shrinkToFit="false"/>
      <protection locked="true" hidden="false"/>
    </xf>
    <xf numFmtId="164" fontId="5" fillId="0" borderId="2" xfId="0" applyFont="true" applyBorder="true" applyAlignment="true" applyProtection="true">
      <alignment horizontal="left" vertical="bottom" textRotation="0" wrapText="true" indent="1" shrinkToFit="false"/>
      <protection locked="true" hidden="false"/>
    </xf>
    <xf numFmtId="164" fontId="0" fillId="0" borderId="2" xfId="0" applyFont="false" applyBorder="true" applyAlignment="true" applyProtection="true">
      <alignment horizontal="general" vertical="bottom" textRotation="0" wrapText="true" indent="0" shrinkToFit="false"/>
      <protection locked="true" hidden="false"/>
    </xf>
    <xf numFmtId="164" fontId="0" fillId="0" borderId="4" xfId="0" applyFont="false" applyBorder="true" applyAlignment="true" applyProtection="true">
      <alignment horizontal="general" vertical="bottom" textRotation="0" wrapText="true" indent="0" shrinkToFit="false"/>
      <protection locked="true" hidden="false"/>
    </xf>
    <xf numFmtId="164" fontId="0" fillId="0" borderId="2" xfId="0" applyFont="true" applyBorder="true" applyAlignment="true" applyProtection="true">
      <alignment horizontal="center" vertical="bottom" textRotation="0" wrapText="true" indent="0" shrinkToFit="false"/>
      <protection locked="true" hidden="false"/>
    </xf>
    <xf numFmtId="164" fontId="0" fillId="0" borderId="7" xfId="0" applyFont="false" applyBorder="true" applyAlignment="true" applyProtection="true">
      <alignment horizontal="general" vertical="bottom" textRotation="0" wrapText="false" indent="0" shrinkToFit="false"/>
      <protection locked="true" hidden="false"/>
    </xf>
    <xf numFmtId="164" fontId="17" fillId="0" borderId="0" xfId="20" applyFont="true" applyBorder="true" applyAlignment="true" applyProtection="true">
      <alignment horizontal="center" vertical="center" textRotation="0" wrapText="true" indent="0" shrinkToFit="false"/>
      <protection locked="true" hidden="false"/>
    </xf>
    <xf numFmtId="164" fontId="0" fillId="0" borderId="2" xfId="0" applyFont="true" applyBorder="true" applyAlignment="true" applyProtection="true">
      <alignment horizontal="center" vertical="bottom" textRotation="90" wrapText="true" indent="0" shrinkToFit="false"/>
      <protection locked="true" hidden="false"/>
    </xf>
    <xf numFmtId="164" fontId="5" fillId="11" borderId="8" xfId="0" applyFont="true" applyBorder="true" applyAlignment="true" applyProtection="true">
      <alignment horizontal="left" vertical="bottom" textRotation="0" wrapText="true" indent="1" shrinkToFit="false"/>
      <protection locked="true" hidden="false"/>
    </xf>
    <xf numFmtId="164" fontId="0" fillId="0" borderId="8" xfId="0" applyFont="true" applyBorder="true" applyAlignment="true" applyProtection="true">
      <alignment horizontal="center" vertical="bottom" textRotation="0" wrapText="true" indent="0" shrinkToFit="false"/>
      <protection locked="true" hidden="false"/>
    </xf>
    <xf numFmtId="164" fontId="5" fillId="0" borderId="8" xfId="0" applyFont="true" applyBorder="true" applyAlignment="true" applyProtection="true">
      <alignment horizontal="center" vertical="bottom" textRotation="90" wrapText="true" indent="0" shrinkToFit="false"/>
      <protection locked="true" hidden="false"/>
    </xf>
    <xf numFmtId="164" fontId="5" fillId="0" borderId="2" xfId="0" applyFont="true" applyBorder="true" applyAlignment="true" applyProtection="true">
      <alignment horizontal="center" vertical="bottom" textRotation="90" wrapText="true" indent="0" shrinkToFit="false"/>
      <protection locked="true" hidden="false"/>
    </xf>
    <xf numFmtId="164" fontId="18" fillId="0" borderId="2" xfId="0" applyFont="true" applyBorder="true" applyAlignment="true" applyProtection="true">
      <alignment horizontal="center" vertical="bottom" textRotation="90" wrapText="true" indent="0" shrinkToFit="false"/>
      <protection locked="true" hidden="false"/>
    </xf>
    <xf numFmtId="164" fontId="8" fillId="0" borderId="2" xfId="0" applyFont="true" applyBorder="true" applyAlignment="true" applyProtection="true">
      <alignment horizontal="center" vertical="bottom" textRotation="90" wrapText="true" indent="0" shrinkToFit="false"/>
      <protection locked="true" hidden="false"/>
    </xf>
    <xf numFmtId="164" fontId="19" fillId="0" borderId="0" xfId="20" applyFont="true" applyBorder="true" applyAlignment="true" applyProtection="true">
      <alignment horizontal="center" vertical="bottom" textRotation="0" wrapText="true" indent="0" shrinkToFit="false"/>
      <protection locked="true" hidden="false"/>
    </xf>
    <xf numFmtId="164" fontId="5" fillId="0" borderId="2" xfId="24" applyFont="true" applyBorder="true" applyAlignment="true" applyProtection="true">
      <alignment horizontal="center" vertical="bottom" textRotation="0" wrapText="true" indent="0" shrinkToFit="false"/>
      <protection locked="true" hidden="false"/>
    </xf>
    <xf numFmtId="167" fontId="5" fillId="0" borderId="2" xfId="24" applyFont="true" applyBorder="true" applyAlignment="true" applyProtection="true">
      <alignment horizontal="left" vertical="bottom" textRotation="0" wrapText="false" indent="0" shrinkToFit="false"/>
      <protection locked="true" hidden="false"/>
    </xf>
    <xf numFmtId="164" fontId="5" fillId="0" borderId="2" xfId="0" applyFont="true" applyBorder="true" applyAlignment="true" applyProtection="true">
      <alignment horizontal="left" vertical="bottom" textRotation="0" wrapText="true" indent="0" shrinkToFit="false"/>
      <protection locked="true" hidden="false"/>
    </xf>
    <xf numFmtId="164" fontId="5" fillId="0" borderId="2" xfId="0" applyFont="true" applyBorder="true" applyAlignment="true" applyProtection="true">
      <alignment horizontal="general" vertical="bottom" textRotation="0" wrapText="true" indent="0" shrinkToFit="false"/>
      <protection locked="true" hidden="false"/>
    </xf>
    <xf numFmtId="164" fontId="5" fillId="0" borderId="2" xfId="0" applyFont="true" applyBorder="true" applyAlignment="true" applyProtection="true">
      <alignment horizontal="center" vertical="bottom" textRotation="0" wrapText="true" indent="0" shrinkToFit="false"/>
      <protection locked="true" hidden="false"/>
    </xf>
    <xf numFmtId="166" fontId="5" fillId="0" borderId="2" xfId="0" applyFont="true" applyBorder="true" applyAlignment="true" applyProtection="true">
      <alignment horizontal="center" vertical="bottom" textRotation="0" wrapText="true" indent="0" shrinkToFit="false"/>
      <protection locked="true" hidden="false"/>
    </xf>
    <xf numFmtId="164" fontId="8" fillId="0" borderId="2" xfId="0" applyFont="true" applyBorder="true" applyAlignment="true" applyProtection="true">
      <alignment horizontal="center" vertical="bottom" textRotation="0" wrapText="true" indent="0" shrinkToFit="false"/>
      <protection locked="true" hidden="false"/>
    </xf>
    <xf numFmtId="164" fontId="20" fillId="0" borderId="2" xfId="0" applyFont="true" applyBorder="true" applyAlignment="true" applyProtection="true">
      <alignment horizontal="left" vertical="bottom" textRotation="0" wrapText="true" indent="0" shrinkToFit="false"/>
      <protection locked="true" hidden="false"/>
    </xf>
    <xf numFmtId="164" fontId="5" fillId="0" borderId="2" xfId="24" applyFont="true" applyBorder="true" applyAlignment="true" applyProtection="true">
      <alignment horizontal="left" vertical="bottom" textRotation="0" wrapText="false" indent="0" shrinkToFit="false"/>
      <protection locked="true" hidden="false"/>
    </xf>
    <xf numFmtId="164" fontId="5" fillId="0" borderId="4" xfId="0" applyFont="true" applyBorder="true" applyAlignment="true" applyProtection="true">
      <alignment horizontal="left" vertical="bottom" textRotation="0" wrapText="true" indent="0" shrinkToFit="false"/>
      <protection locked="true" hidden="false"/>
    </xf>
    <xf numFmtId="164" fontId="5" fillId="0" borderId="4" xfId="0" applyFont="true" applyBorder="true" applyAlignment="true" applyProtection="true">
      <alignment horizontal="center" vertical="bottom" textRotation="0" wrapText="true" indent="0" shrinkToFit="false"/>
      <protection locked="true" hidden="false"/>
    </xf>
    <xf numFmtId="164" fontId="0" fillId="0" borderId="2" xfId="0" applyFont="false" applyBorder="true" applyAlignment="true" applyProtection="true">
      <alignment horizontal="center" vertical="bottom" textRotation="90" wrapText="true" indent="0" shrinkToFit="false"/>
      <protection locked="true" hidden="false"/>
    </xf>
    <xf numFmtId="166" fontId="0" fillId="0" borderId="2" xfId="0" applyFont="false" applyBorder="true" applyAlignment="true" applyProtection="true">
      <alignment horizontal="center" vertical="bottom" textRotation="0" wrapText="true" indent="0" shrinkToFit="false"/>
      <protection locked="true" hidden="false"/>
    </xf>
    <xf numFmtId="164" fontId="0" fillId="0" borderId="2" xfId="0" applyFont="false" applyBorder="true" applyAlignment="true" applyProtection="true">
      <alignment horizontal="left" vertical="bottom" textRotation="0" wrapText="true" indent="0" shrinkToFit="false"/>
      <protection locked="true" hidden="false"/>
    </xf>
    <xf numFmtId="164" fontId="0" fillId="0" borderId="2" xfId="0" applyFont="true" applyBorder="true" applyAlignment="true" applyProtection="true">
      <alignment horizontal="center" vertical="bottom" textRotation="255" wrapText="true" indent="0" shrinkToFit="false"/>
      <protection locked="true" hidden="false"/>
    </xf>
    <xf numFmtId="164" fontId="5" fillId="11" borderId="4" xfId="24" applyFont="true" applyBorder="true" applyAlignment="true" applyProtection="true">
      <alignment horizontal="left" vertical="bottom" textRotation="0" wrapText="false" indent="0" shrinkToFit="false"/>
      <protection locked="true" hidden="false"/>
    </xf>
    <xf numFmtId="164" fontId="5" fillId="0" borderId="4" xfId="24" applyFont="true" applyBorder="true" applyAlignment="true" applyProtection="true">
      <alignment horizontal="general" vertical="bottom" textRotation="0" wrapText="false" indent="0" shrinkToFit="false"/>
      <protection locked="true" hidden="false"/>
    </xf>
    <xf numFmtId="164" fontId="5" fillId="0" borderId="4" xfId="0" applyFont="true" applyBorder="true" applyAlignment="true" applyProtection="true">
      <alignment horizontal="general" vertical="bottom" textRotation="0" wrapText="true" indent="0" shrinkToFit="false"/>
      <protection locked="true" hidden="false"/>
    </xf>
    <xf numFmtId="164" fontId="5" fillId="8" borderId="4" xfId="24" applyFont="true" applyBorder="true" applyAlignment="true" applyProtection="true">
      <alignment horizontal="left" vertical="bottom" textRotation="0" wrapText="true" indent="0" shrinkToFit="false"/>
      <protection locked="true" hidden="false"/>
    </xf>
    <xf numFmtId="164" fontId="5" fillId="0" borderId="4" xfId="24" applyFont="true" applyBorder="true" applyAlignment="true" applyProtection="true">
      <alignment horizontal="left" vertical="bottom" textRotation="0" wrapText="false" indent="0" shrinkToFit="false"/>
      <protection locked="true" hidden="false"/>
    </xf>
    <xf numFmtId="164" fontId="15" fillId="0" borderId="0" xfId="0" applyFont="true" applyBorder="false" applyAlignment="true" applyProtection="true">
      <alignment horizontal="general" vertical="bottom" textRotation="0" wrapText="true" indent="0" shrinkToFit="false"/>
      <protection locked="true" hidden="false"/>
    </xf>
    <xf numFmtId="168" fontId="5" fillId="11" borderId="2" xfId="24" applyFont="true" applyBorder="true" applyAlignment="true" applyProtection="true">
      <alignment horizontal="left" vertical="bottom" textRotation="0" wrapText="false" indent="0" shrinkToFit="false"/>
      <protection locked="true" hidden="false"/>
    </xf>
    <xf numFmtId="164" fontId="5" fillId="0" borderId="4" xfId="24" applyFont="true" applyBorder="true" applyAlignment="true" applyProtection="true">
      <alignment horizontal="center" vertical="bottom" textRotation="0" wrapText="false" indent="0" shrinkToFit="false"/>
      <protection locked="true" hidden="false"/>
    </xf>
    <xf numFmtId="169" fontId="5" fillId="0" borderId="2" xfId="24" applyFont="true" applyBorder="true" applyAlignment="true" applyProtection="true">
      <alignment horizontal="left" vertical="bottom" textRotation="0" wrapText="true" indent="0" shrinkToFit="false"/>
      <protection locked="true" hidden="false"/>
    </xf>
    <xf numFmtId="164" fontId="5" fillId="0" borderId="2" xfId="24" applyFont="true" applyBorder="true" applyAlignment="true" applyProtection="true">
      <alignment horizontal="center" vertical="bottom" textRotation="0" wrapText="false" indent="0" shrinkToFit="false"/>
      <protection locked="true" hidden="false"/>
    </xf>
    <xf numFmtId="164" fontId="5" fillId="8" borderId="2" xfId="24" applyFont="true" applyBorder="true" applyAlignment="true" applyProtection="true">
      <alignment horizontal="left" vertical="bottom" textRotation="0" wrapText="false" indent="0" shrinkToFit="false"/>
      <protection locked="true" hidden="false"/>
    </xf>
    <xf numFmtId="164" fontId="5" fillId="0" borderId="2" xfId="24" applyFont="true" applyBorder="true" applyAlignment="true" applyProtection="true">
      <alignment horizontal="general" vertical="bottom" textRotation="0" wrapText="false" indent="0" shrinkToFit="false"/>
      <protection locked="true" hidden="false"/>
    </xf>
    <xf numFmtId="164" fontId="5" fillId="8" borderId="4" xfId="0" applyFont="true" applyBorder="true" applyAlignment="true" applyProtection="true">
      <alignment horizontal="left" vertical="bottom" textRotation="0" wrapText="true" indent="0" shrinkToFit="false"/>
      <protection locked="true" hidden="false"/>
    </xf>
    <xf numFmtId="166" fontId="0" fillId="0" borderId="0" xfId="0" applyFont="false" applyBorder="false" applyAlignment="true" applyProtection="true">
      <alignment horizontal="center" vertical="bottom" textRotation="0" wrapText="true" indent="0" shrinkToFit="false"/>
      <protection locked="true" hidden="false"/>
    </xf>
    <xf numFmtId="164" fontId="5" fillId="8" borderId="4" xfId="24" applyFont="true" applyBorder="true" applyAlignment="true" applyProtection="true">
      <alignment horizontal="left" vertical="bottom" textRotation="0" wrapText="false" indent="0" shrinkToFit="false"/>
      <protection locked="true" hidden="false"/>
    </xf>
    <xf numFmtId="164" fontId="5" fillId="0" borderId="2" xfId="24" applyFont="true" applyBorder="true" applyAlignment="true" applyProtection="true">
      <alignment horizontal="left" vertical="bottom" textRotation="0" wrapText="true" indent="0" shrinkToFit="false"/>
      <protection locked="true" hidden="false"/>
    </xf>
    <xf numFmtId="164" fontId="5" fillId="8" borderId="2" xfId="0" applyFont="true" applyBorder="true" applyAlignment="true" applyProtection="true">
      <alignment horizontal="left" vertical="bottom"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5" fillId="0" borderId="2" xfId="0" applyFont="true" applyBorder="true" applyAlignment="true" applyProtection="true">
      <alignment horizontal="center" vertical="center" textRotation="0" wrapText="true" indent="0" shrinkToFit="false"/>
      <protection locked="true" hidden="false"/>
    </xf>
    <xf numFmtId="164" fontId="21" fillId="0" borderId="2" xfId="0" applyFont="true" applyBorder="true" applyAlignment="true" applyProtection="true">
      <alignment horizontal="center" vertical="center" textRotation="0" wrapText="true" indent="0" shrinkToFit="false"/>
      <protection locked="true" hidden="false"/>
    </xf>
    <xf numFmtId="164" fontId="22" fillId="0" borderId="8" xfId="0" applyFont="true" applyBorder="true" applyAlignment="true" applyProtection="true">
      <alignment horizontal="left" vertical="bottom" textRotation="0" wrapText="true" indent="0" shrinkToFit="false"/>
      <protection locked="true" hidden="false"/>
    </xf>
    <xf numFmtId="164" fontId="21" fillId="0" borderId="8" xfId="0" applyFont="true" applyBorder="true" applyAlignment="true" applyProtection="true">
      <alignment horizontal="left" vertical="top" textRotation="0" wrapText="true" indent="0" shrinkToFit="false"/>
      <protection locked="true" hidden="false"/>
    </xf>
    <xf numFmtId="164" fontId="21" fillId="0" borderId="9" xfId="0" applyFont="true" applyBorder="true" applyAlignment="true" applyProtection="true">
      <alignment horizontal="left" vertical="top" textRotation="0" wrapText="tru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23" fillId="0" borderId="10" xfId="0" applyFont="true" applyBorder="true" applyAlignment="true" applyProtection="true">
      <alignment horizontal="left" vertical="center" textRotation="0" wrapText="true" indent="0" shrinkToFit="false"/>
      <protection locked="true" hidden="false"/>
    </xf>
    <xf numFmtId="164" fontId="23" fillId="0" borderId="11" xfId="0" applyFont="true" applyBorder="true" applyAlignment="true" applyProtection="true">
      <alignment horizontal="left" vertical="center" textRotation="0" wrapText="true" indent="0" shrinkToFit="false"/>
      <protection locked="true" hidden="false"/>
    </xf>
    <xf numFmtId="164" fontId="23" fillId="0" borderId="6" xfId="0" applyFont="true" applyBorder="true" applyAlignment="true" applyProtection="true">
      <alignment horizontal="left" vertical="center" textRotation="0" wrapText="true" indent="0" shrinkToFit="false"/>
      <protection locked="true" hidden="false"/>
    </xf>
    <xf numFmtId="164" fontId="0" fillId="0" borderId="12" xfId="0" applyFont="false" applyBorder="true" applyAlignment="true" applyProtection="true">
      <alignment horizontal="left" vertical="top" textRotation="0" wrapText="false" indent="0" shrinkToFit="false"/>
      <protection locked="true" hidden="false"/>
    </xf>
    <xf numFmtId="166" fontId="23" fillId="0" borderId="12" xfId="0" applyFont="true" applyBorder="true" applyAlignment="true" applyProtection="true">
      <alignment horizontal="left" vertical="center" textRotation="0" wrapText="true" indent="0" shrinkToFit="false"/>
      <protection locked="true" hidden="false"/>
    </xf>
    <xf numFmtId="164" fontId="21" fillId="0" borderId="1" xfId="0" applyFont="true" applyBorder="true" applyAlignment="true" applyProtection="true">
      <alignment horizontal="left" vertical="top" textRotation="0" wrapText="true" indent="0" shrinkToFit="false"/>
      <protection locked="true" hidden="false"/>
    </xf>
    <xf numFmtId="164" fontId="21" fillId="0" borderId="8" xfId="0" applyFont="true" applyBorder="true" applyAlignment="true" applyProtection="true">
      <alignment horizontal="left" vertical="top" textRotation="0" wrapText="false" indent="0" shrinkToFit="false"/>
      <protection locked="true" hidden="false"/>
    </xf>
    <xf numFmtId="164" fontId="21" fillId="0" borderId="13" xfId="0" applyFont="true" applyBorder="true" applyAlignment="true" applyProtection="true">
      <alignment horizontal="left" vertical="top" textRotation="0" wrapText="false" indent="0" shrinkToFit="false"/>
      <protection locked="true" hidden="false"/>
    </xf>
    <xf numFmtId="164" fontId="23" fillId="0" borderId="11" xfId="0" applyFont="true" applyBorder="true" applyAlignment="true" applyProtection="true">
      <alignment horizontal="center" vertical="bottom" textRotation="0" wrapText="false" indent="0" shrinkToFit="false"/>
      <protection locked="true" hidden="false"/>
    </xf>
    <xf numFmtId="164" fontId="23" fillId="0" borderId="1" xfId="0" applyFont="true" applyBorder="true" applyAlignment="true" applyProtection="true">
      <alignment horizontal="center" vertical="bottom" textRotation="0" wrapText="false" indent="0" shrinkToFit="false"/>
      <protection locked="true" hidden="false"/>
    </xf>
    <xf numFmtId="164" fontId="23" fillId="0" borderId="0" xfId="0" applyFont="true" applyBorder="false" applyAlignment="true" applyProtection="true">
      <alignment horizontal="center" vertical="bottom" textRotation="0" wrapText="false" indent="0" shrinkToFit="false"/>
      <protection locked="true" hidden="false"/>
    </xf>
    <xf numFmtId="164" fontId="0" fillId="0" borderId="14" xfId="0" applyFont="false" applyBorder="true" applyAlignment="true" applyProtection="true">
      <alignment horizontal="general" vertical="bottom" textRotation="0" wrapText="false" indent="0" shrinkToFit="false"/>
      <protection locked="true" hidden="false"/>
    </xf>
    <xf numFmtId="164" fontId="24" fillId="0" borderId="1" xfId="0" applyFont="true" applyBorder="true" applyAlignment="true" applyProtection="true">
      <alignment horizontal="general" vertical="center" textRotation="0" wrapText="false" indent="0" shrinkToFit="false"/>
      <protection locked="true" hidden="false"/>
    </xf>
    <xf numFmtId="164" fontId="21" fillId="0" borderId="0" xfId="0" applyFont="true" applyBorder="false" applyAlignment="true" applyProtection="true">
      <alignment horizontal="general" vertical="center" textRotation="0" wrapText="false" indent="0" shrinkToFit="false"/>
      <protection locked="true" hidden="false"/>
    </xf>
    <xf numFmtId="164" fontId="24" fillId="0" borderId="0" xfId="0" applyFont="true" applyBorder="false" applyAlignment="true" applyProtection="true">
      <alignment horizontal="general" vertical="center" textRotation="0" wrapText="false" indent="0" shrinkToFit="false"/>
      <protection locked="true" hidden="false"/>
    </xf>
    <xf numFmtId="164" fontId="21" fillId="0" borderId="14" xfId="0" applyFont="true" applyBorder="true" applyAlignment="true" applyProtection="true">
      <alignment horizontal="general" vertical="center" textRotation="0" wrapText="false" indent="0" shrinkToFit="false"/>
      <protection locked="true" hidden="false"/>
    </xf>
    <xf numFmtId="164" fontId="21" fillId="0" borderId="0" xfId="0" applyFont="true" applyBorder="false" applyAlignment="true" applyProtection="true">
      <alignment horizontal="general" vertical="bottom" textRotation="0" wrapText="false" indent="0" shrinkToFit="false"/>
      <protection locked="true" hidden="false"/>
    </xf>
    <xf numFmtId="164" fontId="21" fillId="0" borderId="4" xfId="0" applyFont="true" applyBorder="true" applyAlignment="true" applyProtection="true">
      <alignment horizontal="left" vertical="top" textRotation="0" wrapText="false" indent="0" shrinkToFit="false"/>
      <protection locked="true" hidden="false"/>
    </xf>
    <xf numFmtId="164" fontId="21" fillId="0" borderId="2" xfId="0" applyFont="true" applyBorder="true" applyAlignment="true" applyProtection="true">
      <alignment horizontal="left" vertical="top" textRotation="0" wrapText="false" indent="0" shrinkToFit="false"/>
      <protection locked="true" hidden="false"/>
    </xf>
    <xf numFmtId="164" fontId="21" fillId="0" borderId="2" xfId="0" applyFont="true" applyBorder="true" applyAlignment="true" applyProtection="true">
      <alignment horizontal="center" vertical="bottom" textRotation="0" wrapText="false" indent="0" shrinkToFit="false"/>
      <protection locked="true" hidden="false"/>
    </xf>
    <xf numFmtId="164" fontId="21" fillId="0" borderId="7" xfId="0" applyFont="true" applyBorder="true" applyAlignment="true" applyProtection="true">
      <alignment horizontal="center" vertical="bottom" textRotation="0" wrapText="false" indent="0" shrinkToFit="false"/>
      <protection locked="true" hidden="false"/>
    </xf>
    <xf numFmtId="164" fontId="25" fillId="0" borderId="8" xfId="0" applyFont="true" applyBorder="true" applyAlignment="true" applyProtection="true">
      <alignment horizontal="center" vertical="top" textRotation="0" wrapText="true" indent="0" shrinkToFit="false"/>
      <protection locked="true" hidden="false"/>
    </xf>
    <xf numFmtId="164" fontId="26" fillId="0" borderId="2" xfId="0" applyFont="true" applyBorder="true" applyAlignment="true" applyProtection="true">
      <alignment horizontal="center" vertical="center" textRotation="0" wrapText="true" indent="0" shrinkToFit="false"/>
      <protection locked="true" hidden="false"/>
    </xf>
    <xf numFmtId="164" fontId="26" fillId="0" borderId="7" xfId="0" applyFont="true" applyBorder="true" applyAlignment="true" applyProtection="true">
      <alignment horizontal="center" vertical="center" textRotation="0" wrapText="true" indent="0" shrinkToFit="false"/>
      <protection locked="true" hidden="false"/>
    </xf>
    <xf numFmtId="164" fontId="23" fillId="0" borderId="2" xfId="0" applyFont="true" applyBorder="true" applyAlignment="true" applyProtection="true">
      <alignment horizontal="center" vertical="center" textRotation="0" wrapText="false" indent="0" shrinkToFit="false"/>
      <protection locked="true" hidden="false"/>
    </xf>
    <xf numFmtId="164" fontId="23" fillId="11" borderId="15" xfId="0" applyFont="true" applyBorder="true" applyAlignment="true" applyProtection="true">
      <alignment horizontal="center" vertical="center" textRotation="0" wrapText="true" indent="0" shrinkToFit="false"/>
      <protection locked="true" hidden="false"/>
    </xf>
    <xf numFmtId="164" fontId="24" fillId="0" borderId="7" xfId="0" applyFont="true" applyBorder="true" applyAlignment="true" applyProtection="true">
      <alignment horizontal="general" vertical="bottom" textRotation="0" wrapText="false" indent="0" shrinkToFit="false"/>
      <protection locked="true" hidden="false"/>
    </xf>
    <xf numFmtId="164" fontId="24" fillId="0" borderId="2" xfId="0" applyFont="true" applyBorder="true" applyAlignment="true" applyProtection="true">
      <alignment horizontal="center" vertical="bottom" textRotation="0" wrapText="false" indent="0" shrinkToFit="false"/>
      <protection locked="true" hidden="false"/>
    </xf>
    <xf numFmtId="164" fontId="24" fillId="0" borderId="2" xfId="0" applyFont="true" applyBorder="true" applyAlignment="true" applyProtection="true">
      <alignment horizontal="general" vertical="bottom" textRotation="0" wrapText="false" indent="0" shrinkToFit="false"/>
      <protection locked="true" hidden="false"/>
    </xf>
    <xf numFmtId="164" fontId="27" fillId="0" borderId="0" xfId="0" applyFont="true" applyBorder="false" applyAlignment="true" applyProtection="true">
      <alignment horizontal="general" vertical="center" textRotation="0" wrapText="false" indent="0" shrinkToFit="false"/>
      <protection locked="true" hidden="false"/>
    </xf>
    <xf numFmtId="164" fontId="24" fillId="0" borderId="2" xfId="0" applyFont="true" applyBorder="true" applyAlignment="true" applyProtection="true">
      <alignment horizontal="center" vertical="center" textRotation="0" wrapText="false" indent="0" shrinkToFit="false"/>
      <protection locked="true" hidden="false"/>
    </xf>
    <xf numFmtId="164" fontId="24" fillId="0" borderId="4" xfId="0" applyFont="true" applyBorder="true" applyAlignment="true" applyProtection="true">
      <alignment horizontal="center" vertical="center" textRotation="0" wrapText="true" indent="0" shrinkToFit="false"/>
      <protection locked="true" hidden="false"/>
    </xf>
    <xf numFmtId="164" fontId="24" fillId="0" borderId="4" xfId="0" applyFont="true" applyBorder="true" applyAlignment="true" applyProtection="true">
      <alignment horizontal="center" vertical="center" textRotation="0" wrapText="false" indent="0" shrinkToFit="false"/>
      <protection locked="true" hidden="false"/>
    </xf>
    <xf numFmtId="164" fontId="24" fillId="0" borderId="7" xfId="0" applyFont="true" applyBorder="true" applyAlignment="true" applyProtection="true">
      <alignment horizontal="center" vertical="center" textRotation="0" wrapText="false" indent="0" shrinkToFit="false"/>
      <protection locked="true" hidden="false"/>
    </xf>
    <xf numFmtId="164" fontId="24" fillId="0" borderId="2" xfId="0" applyFont="true" applyBorder="true" applyAlignment="true" applyProtection="true">
      <alignment horizontal="center" vertical="center" textRotation="0" wrapText="true" indent="0" shrinkToFit="false"/>
      <protection locked="true" hidden="false"/>
    </xf>
    <xf numFmtId="164" fontId="24" fillId="0" borderId="15" xfId="0" applyFont="true" applyBorder="true" applyAlignment="true" applyProtection="true">
      <alignment horizontal="center" vertical="center" textRotation="0" wrapText="false" indent="0" shrinkToFit="false"/>
      <protection locked="true" hidden="false"/>
    </xf>
    <xf numFmtId="164" fontId="24" fillId="0" borderId="9" xfId="0" applyFont="true" applyBorder="true" applyAlignment="true" applyProtection="true">
      <alignment horizontal="center" vertical="center" textRotation="0" wrapText="false" indent="0" shrinkToFit="false"/>
      <protection locked="true" hidden="false"/>
    </xf>
    <xf numFmtId="164" fontId="0" fillId="0" borderId="2" xfId="0" applyFont="false" applyBorder="true" applyAlignment="true" applyProtection="true">
      <alignment horizontal="general" vertical="bottom" textRotation="0" wrapText="false" indent="0" shrinkToFit="false"/>
      <protection locked="true" hidden="false"/>
    </xf>
    <xf numFmtId="164" fontId="25" fillId="0" borderId="4" xfId="0" applyFont="true" applyBorder="true" applyAlignment="true" applyProtection="true">
      <alignment horizontal="general" vertical="bottom" textRotation="0" wrapText="true" indent="0" shrinkToFit="false"/>
      <protection locked="true" hidden="false"/>
    </xf>
    <xf numFmtId="164" fontId="0" fillId="0" borderId="16" xfId="0" applyFont="false" applyBorder="true" applyAlignment="true" applyProtection="true">
      <alignment horizontal="general" vertical="bottom" textRotation="0" wrapText="false" indent="0" shrinkToFit="false"/>
      <protection locked="true" hidden="false"/>
    </xf>
    <xf numFmtId="164" fontId="0" fillId="0" borderId="17" xfId="0" applyFont="false" applyBorder="true" applyAlignment="true" applyProtection="true">
      <alignment horizontal="general" vertical="bottom" textRotation="0" wrapText="false" indent="0" shrinkToFit="false"/>
      <protection locked="true" hidden="false"/>
    </xf>
    <xf numFmtId="164" fontId="0" fillId="0" borderId="2" xfId="0" applyFont="false" applyBorder="true" applyAlignment="true" applyProtection="true">
      <alignment horizontal="center" vertical="bottom" textRotation="0" wrapText="false" indent="0" shrinkToFit="false"/>
      <protection locked="true" hidden="false"/>
    </xf>
    <xf numFmtId="164" fontId="0" fillId="0" borderId="18" xfId="0" applyFont="false" applyBorder="true" applyAlignment="true" applyProtection="true">
      <alignment horizontal="general" vertical="bottom" textRotation="0" wrapText="false" indent="0" shrinkToFit="false"/>
      <protection locked="true" hidden="false"/>
    </xf>
    <xf numFmtId="164" fontId="0" fillId="0" borderId="19" xfId="0" applyFont="false" applyBorder="true" applyAlignment="true" applyProtection="true">
      <alignment horizontal="general" vertical="bottom" textRotation="0" wrapText="false" indent="0" shrinkToFit="false"/>
      <protection locked="true" hidden="false"/>
    </xf>
    <xf numFmtId="164" fontId="25" fillId="0" borderId="15" xfId="0" applyFont="true" applyBorder="true" applyAlignment="true" applyProtection="true">
      <alignment horizontal="general" vertical="bottom" textRotation="0" wrapText="true" indent="0" shrinkToFit="false"/>
      <protection locked="true" hidden="false"/>
    </xf>
    <xf numFmtId="164" fontId="0" fillId="0" borderId="4" xfId="0" applyFont="false" applyBorder="true" applyAlignment="true" applyProtection="true">
      <alignment horizontal="general" vertical="bottom" textRotation="0" wrapText="false" indent="0" shrinkToFit="false"/>
      <protection locked="true" hidden="false"/>
    </xf>
    <xf numFmtId="164" fontId="25" fillId="0" borderId="4" xfId="0" applyFont="true" applyBorder="true" applyAlignment="true" applyProtection="true">
      <alignment horizontal="center" vertical="bottom" textRotation="0" wrapText="true" indent="0" shrinkToFit="false"/>
      <protection locked="true" hidden="false"/>
    </xf>
    <xf numFmtId="164" fontId="27" fillId="0" borderId="18" xfId="0" applyFont="true" applyBorder="true" applyAlignment="true" applyProtection="true">
      <alignment horizontal="left" vertical="bottom" textRotation="0" wrapText="false" indent="0" shrinkToFit="false"/>
      <protection locked="true" hidden="false"/>
    </xf>
    <xf numFmtId="164" fontId="27" fillId="0" borderId="19" xfId="0" applyFont="true" applyBorder="true" applyAlignment="true" applyProtection="true">
      <alignment horizontal="center" vertical="bottom" textRotation="0" wrapText="false" indent="0" shrinkToFit="false"/>
      <protection locked="true" hidden="false"/>
    </xf>
    <xf numFmtId="164" fontId="25" fillId="0" borderId="11" xfId="0" applyFont="true" applyBorder="true" applyAlignment="true" applyProtection="true">
      <alignment horizontal="general" vertical="bottom" textRotation="0" wrapText="true" indent="0" shrinkToFit="false"/>
      <protection locked="true" hidden="false"/>
    </xf>
    <xf numFmtId="164" fontId="27" fillId="0" borderId="18" xfId="0" applyFont="true" applyBorder="true" applyAlignment="true" applyProtection="true">
      <alignment horizontal="center" vertical="bottom" textRotation="0" wrapText="false" indent="0" shrinkToFit="false"/>
      <protection locked="true" hidden="false"/>
    </xf>
    <xf numFmtId="164" fontId="28" fillId="0" borderId="19" xfId="0" applyFont="true" applyBorder="true" applyAlignment="true" applyProtection="true">
      <alignment horizontal="left" vertical="bottom" textRotation="0" wrapText="false" indent="0" shrinkToFit="false"/>
      <protection locked="true" hidden="false"/>
    </xf>
    <xf numFmtId="166" fontId="5" fillId="0" borderId="19" xfId="0" applyFont="true" applyBorder="true" applyAlignment="true" applyProtection="true">
      <alignment horizontal="center" vertical="bottom" textRotation="0" wrapText="false" indent="0" shrinkToFit="false"/>
      <protection locked="true" hidden="false"/>
    </xf>
    <xf numFmtId="164" fontId="29" fillId="0" borderId="19" xfId="0" applyFont="true" applyBorder="true" applyAlignment="true" applyProtection="true">
      <alignment horizontal="left" vertical="bottom" textRotation="0" wrapText="false" indent="0" shrinkToFit="false"/>
      <protection locked="true" hidden="false"/>
    </xf>
    <xf numFmtId="164" fontId="5" fillId="0" borderId="20" xfId="0" applyFont="true" applyBorder="true" applyAlignment="true" applyProtection="true">
      <alignment horizontal="general" vertical="bottom" textRotation="0" wrapText="false" indent="0" shrinkToFit="false"/>
      <protection locked="true" hidden="false"/>
    </xf>
    <xf numFmtId="164" fontId="0" fillId="0" borderId="21" xfId="0" applyFont="false" applyBorder="true" applyAlignment="true" applyProtection="true">
      <alignment horizontal="general" vertical="bottom" textRotation="0" wrapText="false" indent="0" shrinkToFit="false"/>
      <protection locked="true" hidden="false"/>
    </xf>
    <xf numFmtId="164" fontId="24" fillId="0" borderId="8" xfId="0" applyFont="true" applyBorder="true" applyAlignment="true" applyProtection="true">
      <alignment horizontal="center" vertical="bottom" textRotation="0" wrapText="true" indent="0" shrinkToFit="false"/>
      <protection locked="true" hidden="false"/>
    </xf>
    <xf numFmtId="164" fontId="21" fillId="0" borderId="8" xfId="0" applyFont="true" applyBorder="true" applyAlignment="true" applyProtection="true">
      <alignment horizontal="left" vertical="center" textRotation="0" wrapText="true" indent="0" shrinkToFit="false"/>
      <protection locked="true" hidden="false"/>
    </xf>
    <xf numFmtId="170" fontId="23" fillId="0" borderId="10" xfId="0" applyFont="true" applyBorder="true" applyAlignment="true" applyProtection="true">
      <alignment horizontal="left" vertical="bottom" textRotation="0" wrapText="true" indent="0" shrinkToFit="false"/>
      <protection locked="true" hidden="false"/>
    </xf>
    <xf numFmtId="164" fontId="23" fillId="0" borderId="10" xfId="0" applyFont="true" applyBorder="true" applyAlignment="true" applyProtection="true">
      <alignment horizontal="left" vertical="bottom" textRotation="0" wrapText="true" indent="0" shrinkToFit="false"/>
      <protection locked="true" hidden="false"/>
    </xf>
    <xf numFmtId="164" fontId="30" fillId="0" borderId="10" xfId="0" applyFont="true" applyBorder="true" applyAlignment="true" applyProtection="true">
      <alignment horizontal="left" vertical="bottom" textRotation="0" wrapText="true" indent="0" shrinkToFit="false"/>
      <protection locked="true" hidden="false"/>
    </xf>
    <xf numFmtId="164" fontId="21" fillId="0" borderId="10" xfId="0" applyFont="true" applyBorder="true" applyAlignment="true" applyProtection="true">
      <alignment horizontal="center" vertical="bottom" textRotation="0" wrapText="false" indent="0" shrinkToFit="false"/>
      <protection locked="true" hidden="false"/>
    </xf>
    <xf numFmtId="164" fontId="21" fillId="0" borderId="2" xfId="0" applyFont="true" applyBorder="true" applyAlignment="true" applyProtection="true">
      <alignment horizontal="left" vertical="bottom" textRotation="0" wrapText="true" indent="0" shrinkToFit="false"/>
      <protection locked="true" hidden="false"/>
    </xf>
    <xf numFmtId="164" fontId="25" fillId="0" borderId="2" xfId="0" applyFont="true" applyBorder="true" applyAlignment="true" applyProtection="true">
      <alignment horizontal="left" vertical="center" textRotation="0" wrapText="false" indent="0" shrinkToFit="false"/>
      <protection locked="true" hidden="false"/>
    </xf>
    <xf numFmtId="164" fontId="21" fillId="0" borderId="2" xfId="0" applyFont="true" applyBorder="true" applyAlignment="true" applyProtection="true">
      <alignment horizontal="left" vertical="top" textRotation="0" wrapText="true" indent="0" shrinkToFit="false"/>
      <protection locked="true" hidden="false"/>
    </xf>
    <xf numFmtId="164" fontId="25" fillId="0" borderId="2" xfId="0" applyFont="true" applyBorder="true" applyAlignment="true" applyProtection="true">
      <alignment horizontal="left" vertical="bottom" textRotation="0" wrapText="false" indent="0" shrinkToFit="false"/>
      <protection locked="true" hidden="false"/>
    </xf>
    <xf numFmtId="164" fontId="31" fillId="0" borderId="0" xfId="0" applyFont="true" applyBorder="true" applyAlignment="true" applyProtection="true">
      <alignment horizontal="left" vertical="bottom" textRotation="0" wrapText="false" indent="0" shrinkToFit="false"/>
      <protection locked="true" hidden="false"/>
    </xf>
    <xf numFmtId="164" fontId="32" fillId="0" borderId="0" xfId="0" applyFont="true" applyBorder="false" applyAlignment="true" applyProtection="true">
      <alignment horizontal="center" vertical="bottom" textRotation="0" wrapText="false" indent="0" shrinkToFit="false"/>
      <protection locked="true" hidden="false"/>
    </xf>
    <xf numFmtId="164" fontId="0" fillId="0" borderId="15" xfId="0" applyFont="false" applyBorder="true" applyAlignment="true" applyProtection="true">
      <alignment horizontal="general" vertical="bottom" textRotation="0" wrapText="false" indent="0" shrinkToFit="false"/>
      <protection locked="true" hidden="false"/>
    </xf>
    <xf numFmtId="164" fontId="0" fillId="0" borderId="5" xfId="0" applyFont="false" applyBorder="true" applyAlignment="true" applyProtection="true">
      <alignment horizontal="general" vertical="bottom" textRotation="0" wrapText="false" indent="0" shrinkToFit="false"/>
      <protection locked="true" hidden="false"/>
    </xf>
    <xf numFmtId="164" fontId="21" fillId="0" borderId="5" xfId="0" applyFont="true" applyBorder="true" applyAlignment="true" applyProtection="true">
      <alignment horizontal="center" vertical="bottom" textRotation="0" wrapText="false" indent="0" shrinkToFit="false"/>
      <protection locked="true" hidden="false"/>
    </xf>
    <xf numFmtId="164" fontId="0" fillId="0" borderId="9" xfId="0" applyFont="false" applyBorder="true" applyAlignment="true" applyProtection="true">
      <alignment horizontal="general" vertical="bottom" textRotation="0" wrapText="false" indent="0" shrinkToFit="false"/>
      <protection locked="true" hidden="false"/>
    </xf>
    <xf numFmtId="164" fontId="0" fillId="0" borderId="11" xfId="0" applyFont="false" applyBorder="true" applyAlignment="true" applyProtection="true">
      <alignment horizontal="general" vertical="bottom" textRotation="0" wrapText="false" indent="0" shrinkToFit="false"/>
      <protection locked="true" hidden="false"/>
    </xf>
    <xf numFmtId="164" fontId="21" fillId="0" borderId="6" xfId="0" applyFont="true" applyBorder="true" applyAlignment="true" applyProtection="true">
      <alignment horizontal="center" vertical="top" textRotation="0" wrapText="false" indent="0" shrinkToFit="false"/>
      <protection locked="true" hidden="false"/>
    </xf>
    <xf numFmtId="164" fontId="0" fillId="0" borderId="12" xfId="0" applyFont="false" applyBorder="true" applyAlignment="true" applyProtection="true">
      <alignment horizontal="general" vertical="bottom" textRotation="0" wrapText="false" indent="0" shrinkToFit="false"/>
      <protection locked="true" hidden="false"/>
    </xf>
    <xf numFmtId="164" fontId="0" fillId="0" borderId="3" xfId="0" applyFont="false" applyBorder="true" applyAlignment="true" applyProtection="true">
      <alignment horizontal="general" vertical="bottom" textRotation="0" wrapText="false" indent="0" shrinkToFit="false"/>
      <protection locked="true" hidden="false"/>
    </xf>
    <xf numFmtId="164" fontId="33" fillId="0" borderId="8" xfId="0" applyFont="true" applyBorder="true" applyAlignment="true" applyProtection="true">
      <alignment horizontal="center" vertical="center" textRotation="0" wrapText="true" indent="0" shrinkToFit="false"/>
      <protection locked="true" hidden="false"/>
    </xf>
    <xf numFmtId="164" fontId="12" fillId="0" borderId="13" xfId="0" applyFont="true" applyBorder="true" applyAlignment="true" applyProtection="true">
      <alignment horizontal="left" vertical="center" textRotation="0" wrapText="true" indent="0" shrinkToFit="false"/>
      <protection locked="true" hidden="false"/>
    </xf>
    <xf numFmtId="164" fontId="12" fillId="0" borderId="13" xfId="0" applyFont="true" applyBorder="true" applyAlignment="true" applyProtection="true">
      <alignment horizontal="left" vertical="top" textRotation="0" wrapText="true" indent="0" shrinkToFit="false"/>
      <protection locked="true" hidden="false"/>
    </xf>
    <xf numFmtId="164" fontId="12" fillId="0" borderId="11" xfId="0" applyFont="true" applyBorder="true" applyAlignment="true" applyProtection="true">
      <alignment horizontal="left" vertical="top" textRotation="0" wrapText="false" indent="0" shrinkToFit="false"/>
      <protection locked="true" hidden="false"/>
    </xf>
    <xf numFmtId="164" fontId="12" fillId="0" borderId="6" xfId="0" applyFont="true" applyBorder="true" applyAlignment="true" applyProtection="true">
      <alignment horizontal="left" vertical="top" textRotation="0" wrapText="false" indent="0" shrinkToFit="false"/>
      <protection locked="true" hidden="false"/>
    </xf>
    <xf numFmtId="164" fontId="12" fillId="0" borderId="12" xfId="0" applyFont="true" applyBorder="true" applyAlignment="true" applyProtection="true">
      <alignment horizontal="left" vertical="top" textRotation="0" wrapText="false" indent="0" shrinkToFit="false"/>
      <protection locked="true" hidden="false"/>
    </xf>
    <xf numFmtId="164" fontId="31" fillId="0" borderId="0" xfId="0" applyFont="true" applyBorder="false" applyAlignment="true" applyProtection="true">
      <alignment horizontal="general" vertical="center" textRotation="0" wrapText="false" indent="0" shrinkToFit="false"/>
      <protection locked="true" hidden="false"/>
    </xf>
    <xf numFmtId="164" fontId="35" fillId="0" borderId="0" xfId="0" applyFont="true" applyBorder="false" applyAlignment="true" applyProtection="true">
      <alignment horizontal="general" vertical="bottom" textRotation="0" wrapText="false" indent="0" shrinkToFit="false"/>
      <protection locked="true" hidden="false"/>
    </xf>
    <xf numFmtId="164" fontId="8" fillId="0"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center" vertical="bottom" textRotation="0" wrapText="false" indent="0" shrinkToFit="false"/>
      <protection locked="true" hidden="false"/>
    </xf>
    <xf numFmtId="164" fontId="13" fillId="0" borderId="0" xfId="0" applyFont="true" applyBorder="false" applyAlignment="true" applyProtection="true">
      <alignment horizontal="general" vertical="bottom" textRotation="0" wrapText="false" indent="0" shrinkToFit="false"/>
      <protection locked="true" hidden="false"/>
    </xf>
  </cellXfs>
  <cellStyles count="14">
    <cellStyle name="Normal" xfId="0" builtinId="0"/>
    <cellStyle name="Comma" xfId="15" builtinId="3"/>
    <cellStyle name="Comma [0]" xfId="16" builtinId="6"/>
    <cellStyle name="Currency" xfId="17" builtinId="4"/>
    <cellStyle name="Currency [0]" xfId="18" builtinId="7"/>
    <cellStyle name="Percent" xfId="19" builtinId="5"/>
    <cellStyle name="40% - Accent3 2" xfId="21"/>
    <cellStyle name="40% - Accent3 2 2" xfId="22"/>
    <cellStyle name="40% - Accent3 3" xfId="23"/>
    <cellStyle name="Normal 2" xfId="24"/>
    <cellStyle name="Normal 3" xfId="25"/>
    <cellStyle name="Percent 2" xfId="26"/>
    <cellStyle name="Excel Built-in 40% - Accent3" xfId="27"/>
    <cellStyle name="*unknown*" xfId="20" builtinId="8"/>
  </cellStyles>
  <dxfs count="4">
    <dxf>
      <fill>
        <patternFill patternType="solid">
          <bgColor rgb="FF000000"/>
        </patternFill>
      </fill>
    </dxf>
    <dxf>
      <fill>
        <patternFill patternType="solid">
          <fgColor rgb="FFFFFFFF"/>
          <bgColor rgb="FF000000"/>
        </patternFill>
      </fill>
    </dxf>
    <dxf>
      <fill>
        <patternFill patternType="solid">
          <fgColor rgb="FFE6B9B8"/>
          <bgColor rgb="FF000000"/>
        </patternFill>
      </fill>
    </dxf>
    <dxf>
      <fill>
        <patternFill patternType="solid">
          <fgColor rgb="FF000000"/>
          <bgColor rgb="FF00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E6B9B8"/>
      <rgbColor rgb="FF558ED5"/>
      <rgbColor rgb="FF9999FF"/>
      <rgbColor rgb="FF7030A0"/>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D7E4BD"/>
      <rgbColor rgb="FFFFFF99"/>
      <rgbColor rgb="FF99CCFF"/>
      <rgbColor rgb="FFFF99CC"/>
      <rgbColor rgb="FFCC99FF"/>
      <rgbColor rgb="FFF2DCDB"/>
      <rgbColor rgb="FF3366FF"/>
      <rgbColor rgb="FF33CCCC"/>
      <rgbColor rgb="FF92D050"/>
      <rgbColor rgb="FFFFC000"/>
      <rgbColor rgb="FFFF9900"/>
      <rgbColor rgb="FFFF6600"/>
      <rgbColor rgb="FF376092"/>
      <rgbColor rgb="FFA6A6A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sharedStrings" Target="sharedStrings.xml"/>
</Relationships>
</file>

<file path=xl/drawings/_rels/drawing2.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png"/>
</Relationships>
</file>

<file path=xl/drawings/_rels/drawing3.xml.rels><?xml version="1.0" encoding="UTF-8"?>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4.png"/><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47520</xdr:colOff>
      <xdr:row>14</xdr:row>
      <xdr:rowOff>237960</xdr:rowOff>
    </xdr:from>
    <xdr:to>
      <xdr:col>4</xdr:col>
      <xdr:colOff>1044000</xdr:colOff>
      <xdr:row>16</xdr:row>
      <xdr:rowOff>190440</xdr:rowOff>
    </xdr:to>
    <xdr:pic>
      <xdr:nvPicPr>
        <xdr:cNvPr id="0" name="Picture 1" descr=""/>
        <xdr:cNvPicPr/>
      </xdr:nvPicPr>
      <xdr:blipFill>
        <a:blip r:embed="rId1"/>
        <a:stretch/>
      </xdr:blipFill>
      <xdr:spPr>
        <a:xfrm>
          <a:off x="2401560" y="4324320"/>
          <a:ext cx="2648160" cy="542880"/>
        </a:xfrm>
        <a:prstGeom prst="rect">
          <a:avLst/>
        </a:prstGeom>
        <a:noFill/>
        <a:ln w="0">
          <a:noFill/>
        </a:ln>
      </xdr:spPr>
    </xdr:pic>
    <xdr:clientData/>
  </xdr:twoCellAnchor>
  <xdr:twoCellAnchor editAs="oneCell">
    <xdr:from>
      <xdr:col>4</xdr:col>
      <xdr:colOff>399960</xdr:colOff>
      <xdr:row>17</xdr:row>
      <xdr:rowOff>276120</xdr:rowOff>
    </xdr:from>
    <xdr:to>
      <xdr:col>4</xdr:col>
      <xdr:colOff>690840</xdr:colOff>
      <xdr:row>18</xdr:row>
      <xdr:rowOff>291240</xdr:rowOff>
    </xdr:to>
    <xdr:pic>
      <xdr:nvPicPr>
        <xdr:cNvPr id="1" name="Picture 2" descr=""/>
        <xdr:cNvPicPr/>
      </xdr:nvPicPr>
      <xdr:blipFill>
        <a:blip r:embed="rId2"/>
        <a:stretch/>
      </xdr:blipFill>
      <xdr:spPr>
        <a:xfrm>
          <a:off x="4405680" y="5248080"/>
          <a:ext cx="290880" cy="310320"/>
        </a:xfrm>
        <a:prstGeom prst="rect">
          <a:avLst/>
        </a:prstGeom>
        <a:noFill/>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13</xdr:row>
      <xdr:rowOff>21600</xdr:rowOff>
    </xdr:from>
    <xdr:to>
      <xdr:col>4</xdr:col>
      <xdr:colOff>142560</xdr:colOff>
      <xdr:row>20</xdr:row>
      <xdr:rowOff>145080</xdr:rowOff>
    </xdr:to>
    <xdr:pic>
      <xdr:nvPicPr>
        <xdr:cNvPr id="2" name="Picture 1" descr=""/>
        <xdr:cNvPicPr/>
      </xdr:nvPicPr>
      <xdr:blipFill>
        <a:blip r:embed="rId1"/>
        <a:stretch/>
      </xdr:blipFill>
      <xdr:spPr>
        <a:xfrm>
          <a:off x="723240" y="3228840"/>
          <a:ext cx="2312280" cy="1457280"/>
        </a:xfrm>
        <a:prstGeom prst="rect">
          <a:avLst/>
        </a:prstGeom>
        <a:noFill/>
        <a:ln w="0">
          <a:noFill/>
        </a:ln>
      </xdr:spPr>
    </xdr:pic>
    <xdr:clientData/>
  </xdr:twoCellAnchor>
  <xdr:twoCellAnchor editAs="oneCell">
    <xdr:from>
      <xdr:col>1</xdr:col>
      <xdr:colOff>0</xdr:colOff>
      <xdr:row>24</xdr:row>
      <xdr:rowOff>21600</xdr:rowOff>
    </xdr:from>
    <xdr:to>
      <xdr:col>15</xdr:col>
      <xdr:colOff>277200</xdr:colOff>
      <xdr:row>53</xdr:row>
      <xdr:rowOff>12240</xdr:rowOff>
    </xdr:to>
    <xdr:pic>
      <xdr:nvPicPr>
        <xdr:cNvPr id="3" name="Picture 2" descr=""/>
        <xdr:cNvPicPr/>
      </xdr:nvPicPr>
      <xdr:blipFill>
        <a:blip r:embed="rId2"/>
        <a:stretch/>
      </xdr:blipFill>
      <xdr:spPr>
        <a:xfrm>
          <a:off x="723240" y="5324400"/>
          <a:ext cx="10402920" cy="5515200"/>
        </a:xfrm>
        <a:prstGeom prst="rect">
          <a:avLst/>
        </a:prstGeom>
        <a:noFill/>
        <a:ln w="0">
          <a:noFill/>
        </a:ln>
      </xdr:spPr>
    </xdr:pic>
    <xdr:clientData/>
  </xdr:twoCellAnchor>
  <xdr:twoCellAnchor editAs="oneCell">
    <xdr:from>
      <xdr:col>2</xdr:col>
      <xdr:colOff>0</xdr:colOff>
      <xdr:row>56</xdr:row>
      <xdr:rowOff>21600</xdr:rowOff>
    </xdr:from>
    <xdr:to>
      <xdr:col>8</xdr:col>
      <xdr:colOff>209520</xdr:colOff>
      <xdr:row>58</xdr:row>
      <xdr:rowOff>115920</xdr:rowOff>
    </xdr:to>
    <xdr:pic>
      <xdr:nvPicPr>
        <xdr:cNvPr id="4" name="Picture 3" descr=""/>
        <xdr:cNvPicPr/>
      </xdr:nvPicPr>
      <xdr:blipFill>
        <a:blip r:embed="rId3"/>
        <a:stretch/>
      </xdr:blipFill>
      <xdr:spPr>
        <a:xfrm>
          <a:off x="1446480" y="11420640"/>
          <a:ext cx="4549320" cy="475200"/>
        </a:xfrm>
        <a:prstGeom prst="rect">
          <a:avLst/>
        </a:prstGeom>
        <a:noFill/>
        <a:ln w="0">
          <a:noFill/>
        </a:ln>
      </xdr:spPr>
    </xdr:pic>
    <xdr:clientData/>
  </xdr:twoCellAnchor>
  <xdr:twoCellAnchor editAs="oneCell">
    <xdr:from>
      <xdr:col>1</xdr:col>
      <xdr:colOff>0</xdr:colOff>
      <xdr:row>62</xdr:row>
      <xdr:rowOff>91800</xdr:rowOff>
    </xdr:from>
    <xdr:to>
      <xdr:col>4</xdr:col>
      <xdr:colOff>151920</xdr:colOff>
      <xdr:row>74</xdr:row>
      <xdr:rowOff>29880</xdr:rowOff>
    </xdr:to>
    <xdr:pic>
      <xdr:nvPicPr>
        <xdr:cNvPr id="5" name="Picture 4" descr=""/>
        <xdr:cNvPicPr/>
      </xdr:nvPicPr>
      <xdr:blipFill>
        <a:blip r:embed="rId4"/>
        <a:stretch/>
      </xdr:blipFill>
      <xdr:spPr>
        <a:xfrm>
          <a:off x="723240" y="12663360"/>
          <a:ext cx="2321640" cy="2224080"/>
        </a:xfrm>
        <a:prstGeom prst="rect">
          <a:avLst/>
        </a:prstGeom>
        <a:noFill/>
        <a:ln w="0">
          <a:noFill/>
        </a:ln>
      </xdr:spPr>
    </xdr:pic>
    <xdr:clientData/>
  </xdr:twoCellAnchor>
  <xdr:twoCellAnchor editAs="oneCell">
    <xdr:from>
      <xdr:col>1</xdr:col>
      <xdr:colOff>0</xdr:colOff>
      <xdr:row>76</xdr:row>
      <xdr:rowOff>39240</xdr:rowOff>
    </xdr:from>
    <xdr:to>
      <xdr:col>20</xdr:col>
      <xdr:colOff>382320</xdr:colOff>
      <xdr:row>85</xdr:row>
      <xdr:rowOff>1080</xdr:rowOff>
    </xdr:to>
    <xdr:pic>
      <xdr:nvPicPr>
        <xdr:cNvPr id="6" name="Picture 5" descr=""/>
        <xdr:cNvPicPr/>
      </xdr:nvPicPr>
      <xdr:blipFill>
        <a:blip r:embed="rId5"/>
        <a:stretch/>
      </xdr:blipFill>
      <xdr:spPr>
        <a:xfrm>
          <a:off x="723240" y="15278040"/>
          <a:ext cx="14124240" cy="1676160"/>
        </a:xfrm>
        <a:prstGeom prst="rect">
          <a:avLst/>
        </a:prstGeom>
        <a:noFill/>
        <a:ln w="0">
          <a:noFill/>
        </a:ln>
      </xdr:spPr>
    </xdr:pic>
    <xdr:clientData/>
  </xdr:twoCellAnchor>
  <xdr:twoCellAnchor editAs="oneCell">
    <xdr:from>
      <xdr:col>1</xdr:col>
      <xdr:colOff>0</xdr:colOff>
      <xdr:row>1</xdr:row>
      <xdr:rowOff>0</xdr:rowOff>
    </xdr:from>
    <xdr:to>
      <xdr:col>6</xdr:col>
      <xdr:colOff>609480</xdr:colOff>
      <xdr:row>2</xdr:row>
      <xdr:rowOff>151560</xdr:rowOff>
    </xdr:to>
    <xdr:pic>
      <xdr:nvPicPr>
        <xdr:cNvPr id="7" name="Picture 6" descr=""/>
        <xdr:cNvPicPr/>
      </xdr:nvPicPr>
      <xdr:blipFill>
        <a:blip r:embed="rId6"/>
        <a:stretch/>
      </xdr:blipFill>
      <xdr:spPr>
        <a:xfrm>
          <a:off x="723240" y="190440"/>
          <a:ext cx="4225680" cy="342000"/>
        </a:xfrm>
        <a:prstGeom prst="rect">
          <a:avLst/>
        </a:prstGeom>
        <a:noFill/>
        <a:ln w="0">
          <a:noFill/>
        </a:ln>
      </xdr:spPr>
    </xdr:pic>
    <xdr:clientData/>
  </xdr:twoCellAnchor>
</xdr:wsDr>
</file>

<file path=xl/theme/theme1.xml><?xml version="1.0" encoding="utf-8"?>
<a:theme xmlns:a="http://schemas.openxmlformats.org/drawingml/2006/main" xmlns:r="http://schemas.openxmlformats.org/officeDocument/2006/relationships" name="Office Theme 2007 - 2010">
  <a:themeElements>
    <a:clrScheme name="Office 2007 - 2010">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C1048576"/>
  <sheetViews>
    <sheetView showFormulas="false" showGridLines="true" showRowColHeaders="true" showZeros="true" rightToLeft="false" tabSelected="true" showOutlineSymbols="true" defaultGridColor="true" view="normal" topLeftCell="A1" colorId="64" zoomScale="70" zoomScaleNormal="70" zoomScalePageLayoutView="100" workbookViewId="0">
      <pane xSplit="0" ySplit="11" topLeftCell="A12" activePane="bottomLeft" state="frozen"/>
      <selection pane="topLeft" activeCell="A1" activeCellId="0" sqref="A1"/>
      <selection pane="bottomLeft" activeCell="X11" activeCellId="0" sqref="X11"/>
    </sheetView>
  </sheetViews>
  <sheetFormatPr defaultColWidth="8.890625" defaultRowHeight="15" zeroHeight="false" outlineLevelRow="0" outlineLevelCol="0"/>
  <cols>
    <col collapsed="false" customWidth="false" hidden="false" outlineLevel="0" max="1" min="1" style="1" width="8.89"/>
    <col collapsed="false" customWidth="true" hidden="false" outlineLevel="0" max="2" min="2" style="1" width="6.56"/>
    <col collapsed="false" customWidth="true" hidden="false" outlineLevel="0" max="3" min="3" style="2" width="17.89"/>
    <col collapsed="false" customWidth="true" hidden="false" outlineLevel="0" max="4" min="4" style="3" width="45.78"/>
    <col collapsed="false" customWidth="true" hidden="false" outlineLevel="0" max="6" min="5" style="3" width="3.11"/>
    <col collapsed="false" customWidth="true" hidden="false" outlineLevel="0" max="10" min="7" style="1" width="3.11"/>
    <col collapsed="false" customWidth="true" hidden="false" outlineLevel="0" max="11" min="11" style="1" width="3"/>
    <col collapsed="false" customWidth="true" hidden="false" outlineLevel="0" max="17" min="12" style="1" width="3.11"/>
    <col collapsed="false" customWidth="true" hidden="false" outlineLevel="0" max="18" min="18" style="1" width="10.11"/>
    <col collapsed="false" customWidth="true" hidden="false" outlineLevel="0" max="19" min="19" style="1" width="14"/>
    <col collapsed="false" customWidth="true" hidden="false" outlineLevel="0" max="25" min="20" style="1" width="10.33"/>
    <col collapsed="false" customWidth="true" hidden="false" outlineLevel="0" max="26" min="26" style="1" width="10.78"/>
    <col collapsed="false" customWidth="true" hidden="false" outlineLevel="0" max="27" min="27" style="1" width="61.89"/>
    <col collapsed="false" customWidth="false" hidden="false" outlineLevel="0" max="29" min="28" style="3" width="8.89"/>
    <col collapsed="false" customWidth="true" hidden="false" outlineLevel="0" max="30" min="30" style="3" width="18"/>
    <col collapsed="false" customWidth="false" hidden="false" outlineLevel="0" max="16384" min="31" style="3" width="8.89"/>
  </cols>
  <sheetData>
    <row r="1" customFormat="false" ht="15" hidden="false" customHeight="true" outlineLevel="0" collapsed="false">
      <c r="B1" s="4"/>
      <c r="G1" s="5" t="s">
        <v>0</v>
      </c>
      <c r="H1" s="5"/>
      <c r="I1" s="5"/>
      <c r="J1" s="5"/>
      <c r="K1" s="6" t="s">
        <v>1</v>
      </c>
      <c r="L1" s="6"/>
      <c r="M1" s="6"/>
      <c r="P1" s="7" t="s">
        <v>2</v>
      </c>
      <c r="Q1" s="7"/>
      <c r="R1" s="7"/>
      <c r="S1" s="7"/>
      <c r="T1" s="7"/>
      <c r="U1" s="8" t="s">
        <v>3</v>
      </c>
      <c r="V1" s="8"/>
      <c r="X1" s="9"/>
    </row>
    <row r="2" customFormat="false" ht="15" hidden="false" customHeight="true" outlineLevel="0" collapsed="false">
      <c r="B2" s="10" t="s">
        <v>4</v>
      </c>
      <c r="C2" s="2" t="s">
        <v>5</v>
      </c>
      <c r="D2" s="1"/>
      <c r="E2" s="1"/>
      <c r="F2" s="1"/>
      <c r="G2" s="11" t="s">
        <v>6</v>
      </c>
      <c r="H2" s="11"/>
      <c r="I2" s="11"/>
      <c r="J2" s="11"/>
      <c r="K2" s="8" t="s">
        <v>7</v>
      </c>
      <c r="L2" s="8"/>
      <c r="P2" s="12" t="s">
        <v>8</v>
      </c>
      <c r="Q2" s="12"/>
      <c r="R2" s="12"/>
      <c r="S2" s="12"/>
      <c r="T2" s="12"/>
      <c r="U2" s="8" t="s">
        <v>9</v>
      </c>
      <c r="V2" s="8"/>
      <c r="Z2" s="13" t="b">
        <f aca="false">FALSE()</f>
        <v>0</v>
      </c>
      <c r="AA2" s="14" t="s">
        <v>10</v>
      </c>
    </row>
    <row r="3" customFormat="false" ht="15" hidden="false" customHeight="true" outlineLevel="0" collapsed="false">
      <c r="B3" s="15"/>
      <c r="D3" s="1"/>
      <c r="E3" s="1"/>
      <c r="F3" s="1"/>
      <c r="G3" s="16" t="s">
        <v>6</v>
      </c>
      <c r="H3" s="16"/>
      <c r="I3" s="16"/>
      <c r="J3" s="16"/>
      <c r="K3" s="8"/>
      <c r="L3" s="8"/>
      <c r="P3" s="17" t="s">
        <v>11</v>
      </c>
      <c r="Q3" s="17"/>
      <c r="R3" s="17"/>
      <c r="S3" s="17"/>
      <c r="T3" s="17"/>
      <c r="U3" s="8" t="s">
        <v>12</v>
      </c>
      <c r="V3" s="8"/>
    </row>
    <row r="4" customFormat="false" ht="15" hidden="false" customHeight="true" outlineLevel="0" collapsed="false">
      <c r="B4" s="15"/>
      <c r="D4" s="1"/>
      <c r="E4" s="1"/>
      <c r="F4" s="1"/>
      <c r="G4" s="18"/>
      <c r="H4" s="18"/>
      <c r="I4" s="18"/>
      <c r="J4" s="18"/>
      <c r="K4" s="19"/>
      <c r="L4" s="20"/>
      <c r="P4" s="21"/>
      <c r="Q4" s="21"/>
      <c r="R4" s="21"/>
      <c r="S4" s="22" t="s">
        <v>13</v>
      </c>
      <c r="T4" s="21"/>
      <c r="U4" s="23" t="s">
        <v>14</v>
      </c>
      <c r="V4" s="20"/>
    </row>
    <row r="5" customFormat="false" ht="40.5" hidden="false" customHeight="true" outlineLevel="0" collapsed="false">
      <c r="B5" s="24" t="s">
        <v>15</v>
      </c>
      <c r="C5" s="24"/>
      <c r="D5" s="24"/>
      <c r="E5" s="24"/>
      <c r="F5" s="24"/>
      <c r="G5" s="24"/>
      <c r="H5" s="24"/>
      <c r="I5" s="24"/>
      <c r="J5" s="24"/>
      <c r="K5" s="24"/>
      <c r="L5" s="24"/>
      <c r="M5" s="24"/>
      <c r="N5" s="24"/>
      <c r="O5" s="24"/>
      <c r="P5" s="24"/>
      <c r="Q5" s="24"/>
      <c r="R5" s="24"/>
      <c r="S5" s="25"/>
      <c r="T5" s="26" t="s">
        <v>16</v>
      </c>
      <c r="U5" s="26"/>
      <c r="V5" s="26" t="s">
        <v>17</v>
      </c>
      <c r="W5" s="26"/>
      <c r="X5" s="27"/>
      <c r="Y5" s="28"/>
      <c r="Z5" s="28"/>
      <c r="AA5" s="29"/>
    </row>
    <row r="6" customFormat="false" ht="26.85" hidden="false" customHeight="false" outlineLevel="0" collapsed="false">
      <c r="B6" s="30"/>
      <c r="C6" s="30"/>
      <c r="D6" s="30"/>
      <c r="E6" s="30"/>
      <c r="F6" s="30"/>
      <c r="G6" s="30"/>
      <c r="H6" s="30"/>
      <c r="I6" s="30"/>
      <c r="J6" s="30"/>
      <c r="K6" s="30"/>
      <c r="L6" s="30"/>
      <c r="M6" s="30"/>
      <c r="N6" s="30"/>
      <c r="O6" s="30"/>
      <c r="P6" s="30"/>
      <c r="Q6" s="30"/>
      <c r="R6" s="31"/>
      <c r="S6" s="31"/>
      <c r="T6" s="32" t="s">
        <v>18</v>
      </c>
      <c r="U6" s="32" t="s">
        <v>19</v>
      </c>
      <c r="V6" s="33" t="s">
        <v>20</v>
      </c>
      <c r="W6" s="32" t="s">
        <v>21</v>
      </c>
      <c r="X6" s="33" t="s">
        <v>22</v>
      </c>
      <c r="Y6" s="34"/>
      <c r="Z6" s="35"/>
      <c r="AA6" s="36"/>
    </row>
    <row r="7" customFormat="false" ht="22.05" hidden="false" customHeight="false" outlineLevel="0" collapsed="false">
      <c r="B7" s="37"/>
      <c r="C7" s="37"/>
      <c r="D7" s="37"/>
      <c r="E7" s="37"/>
      <c r="F7" s="37"/>
      <c r="G7" s="37"/>
      <c r="H7" s="37"/>
      <c r="I7" s="37"/>
      <c r="J7" s="37"/>
      <c r="K7" s="37"/>
      <c r="L7" s="37"/>
      <c r="M7" s="37"/>
      <c r="N7" s="37"/>
      <c r="O7" s="37"/>
      <c r="P7" s="37"/>
      <c r="Q7" s="37"/>
      <c r="R7" s="38" t="s">
        <v>23</v>
      </c>
      <c r="S7" s="4" t="s">
        <v>24</v>
      </c>
      <c r="T7" s="4" t="n">
        <f aca="false">COUNTIF(R12:R47,"PHASE 1")</f>
        <v>28</v>
      </c>
      <c r="U7" s="4" t="n">
        <f aca="false">COUNTA(T12:T47)</f>
        <v>0</v>
      </c>
      <c r="V7" s="39" t="n">
        <f aca="false">U7/T7</f>
        <v>0</v>
      </c>
      <c r="W7" s="4" t="n">
        <f aca="false">COUNTA(U12:U48)</f>
        <v>0</v>
      </c>
      <c r="X7" s="40" t="n">
        <f aca="false">W7/T7</f>
        <v>0</v>
      </c>
      <c r="Y7" s="35"/>
      <c r="Z7" s="35"/>
      <c r="AA7" s="41" t="s">
        <v>25</v>
      </c>
    </row>
    <row r="8" customFormat="false" ht="21" hidden="false" customHeight="true" outlineLevel="0" collapsed="false">
      <c r="B8" s="37"/>
      <c r="C8" s="37"/>
      <c r="D8" s="37"/>
      <c r="E8" s="37"/>
      <c r="F8" s="37"/>
      <c r="G8" s="37"/>
      <c r="H8" s="37"/>
      <c r="I8" s="37"/>
      <c r="J8" s="37"/>
      <c r="K8" s="37"/>
      <c r="L8" s="37"/>
      <c r="M8" s="37"/>
      <c r="N8" s="37"/>
      <c r="O8" s="37"/>
      <c r="P8" s="37"/>
      <c r="Q8" s="37"/>
      <c r="R8" s="38"/>
      <c r="S8" s="4" t="s">
        <v>26</v>
      </c>
      <c r="T8" s="4" t="n">
        <f aca="false">COUNTIF(R12:R49,"PHASE 2")</f>
        <v>4</v>
      </c>
      <c r="U8" s="4" t="n">
        <f aca="false">COUNTA(T12:T49)</f>
        <v>0</v>
      </c>
      <c r="V8" s="39" t="n">
        <f aca="false">U8/T8</f>
        <v>0</v>
      </c>
      <c r="W8" s="4" t="n">
        <v>0</v>
      </c>
      <c r="X8" s="40" t="n">
        <f aca="false">W8/T8</f>
        <v>0</v>
      </c>
      <c r="Y8" s="35"/>
      <c r="Z8" s="35"/>
      <c r="AA8" s="41" t="s">
        <v>27</v>
      </c>
    </row>
    <row r="9" customFormat="false" ht="18" hidden="false" customHeight="true" outlineLevel="0" collapsed="false">
      <c r="B9" s="42"/>
      <c r="C9" s="42"/>
      <c r="D9" s="42"/>
      <c r="E9" s="42"/>
      <c r="F9" s="42"/>
      <c r="G9" s="42"/>
      <c r="H9" s="42"/>
      <c r="I9" s="42"/>
      <c r="J9" s="42"/>
      <c r="K9" s="42"/>
      <c r="L9" s="42"/>
      <c r="M9" s="42"/>
      <c r="N9" s="42"/>
      <c r="O9" s="42"/>
      <c r="P9" s="42"/>
      <c r="Q9" s="42"/>
      <c r="R9" s="38"/>
      <c r="S9" s="4" t="s">
        <v>28</v>
      </c>
      <c r="T9" s="4" t="n">
        <f aca="false">COUNTIF(R12:R49,"PHASE 3")</f>
        <v>6</v>
      </c>
      <c r="U9" s="4" t="n">
        <f aca="false">COUNTA(T44:T49)</f>
        <v>0</v>
      </c>
      <c r="V9" s="39" t="n">
        <f aca="false">U9/T9</f>
        <v>0</v>
      </c>
      <c r="W9" s="4" t="n">
        <v>0</v>
      </c>
      <c r="X9" s="40" t="n">
        <f aca="false">W9/T9</f>
        <v>0</v>
      </c>
      <c r="Y9" s="42"/>
    </row>
    <row r="10" customFormat="false" ht="15" hidden="false" customHeight="true" outlineLevel="0" collapsed="false">
      <c r="A10" s="43"/>
      <c r="B10" s="44"/>
      <c r="C10" s="45"/>
      <c r="D10" s="46"/>
      <c r="E10" s="47"/>
      <c r="F10" s="47"/>
      <c r="G10" s="48" t="s">
        <v>29</v>
      </c>
      <c r="H10" s="48"/>
      <c r="I10" s="48"/>
      <c r="J10" s="48"/>
      <c r="K10" s="48"/>
      <c r="L10" s="48"/>
      <c r="M10" s="48"/>
      <c r="N10" s="48"/>
      <c r="O10" s="48"/>
      <c r="P10" s="48"/>
      <c r="Q10" s="48"/>
      <c r="R10" s="49"/>
      <c r="S10" s="49"/>
      <c r="T10" s="44"/>
      <c r="U10" s="44"/>
      <c r="V10" s="44"/>
      <c r="W10" s="44"/>
      <c r="X10" s="44"/>
      <c r="Y10" s="44"/>
      <c r="Z10" s="44"/>
      <c r="AA10" s="44"/>
    </row>
    <row r="11" customFormat="false" ht="172.5" hidden="false" customHeight="true" outlineLevel="0" collapsed="false">
      <c r="A11" s="50" t="s">
        <v>30</v>
      </c>
      <c r="B11" s="51" t="s">
        <v>31</v>
      </c>
      <c r="C11" s="52" t="s">
        <v>32</v>
      </c>
      <c r="D11" s="53" t="s">
        <v>33</v>
      </c>
      <c r="E11" s="54" t="s">
        <v>34</v>
      </c>
      <c r="F11" s="54" t="s">
        <v>35</v>
      </c>
      <c r="G11" s="51" t="s">
        <v>36</v>
      </c>
      <c r="H11" s="51" t="s">
        <v>37</v>
      </c>
      <c r="I11" s="51" t="s">
        <v>38</v>
      </c>
      <c r="J11" s="55" t="s">
        <v>39</v>
      </c>
      <c r="K11" s="56" t="s">
        <v>40</v>
      </c>
      <c r="L11" s="51" t="s">
        <v>41</v>
      </c>
      <c r="M11" s="55" t="s">
        <v>42</v>
      </c>
      <c r="N11" s="51" t="s">
        <v>43</v>
      </c>
      <c r="O11" s="51" t="s">
        <v>44</v>
      </c>
      <c r="P11" s="55" t="s">
        <v>45</v>
      </c>
      <c r="Q11" s="51" t="s">
        <v>46</v>
      </c>
      <c r="R11" s="51" t="s">
        <v>47</v>
      </c>
      <c r="S11" s="55" t="s">
        <v>48</v>
      </c>
      <c r="T11" s="51" t="s">
        <v>49</v>
      </c>
      <c r="U11" s="51" t="s">
        <v>50</v>
      </c>
      <c r="V11" s="55" t="s">
        <v>51</v>
      </c>
      <c r="W11" s="55" t="s">
        <v>52</v>
      </c>
      <c r="X11" s="51" t="s">
        <v>50</v>
      </c>
      <c r="Y11" s="55" t="s">
        <v>51</v>
      </c>
      <c r="Z11" s="57" t="s">
        <v>53</v>
      </c>
      <c r="AA11" s="48" t="s">
        <v>54</v>
      </c>
    </row>
    <row r="12" s="15" customFormat="true" ht="24" hidden="false" customHeight="true" outlineLevel="0" collapsed="false">
      <c r="A12" s="58" t="s">
        <v>55</v>
      </c>
      <c r="B12" s="59" t="n">
        <v>1</v>
      </c>
      <c r="C12" s="60" t="s">
        <v>56</v>
      </c>
      <c r="D12" s="61" t="s">
        <v>57</v>
      </c>
      <c r="E12" s="62"/>
      <c r="F12" s="63" t="s">
        <v>58</v>
      </c>
      <c r="G12" s="63"/>
      <c r="H12" s="63"/>
      <c r="I12" s="63"/>
      <c r="J12" s="63"/>
      <c r="K12" s="63"/>
      <c r="L12" s="63"/>
      <c r="M12" s="63"/>
      <c r="N12" s="63"/>
      <c r="O12" s="63" t="s">
        <v>58</v>
      </c>
      <c r="P12" s="63"/>
      <c r="Q12" s="63"/>
      <c r="R12" s="64" t="s">
        <v>59</v>
      </c>
      <c r="S12" s="64" t="s">
        <v>60</v>
      </c>
      <c r="T12" s="64"/>
      <c r="U12" s="64"/>
      <c r="V12" s="64"/>
      <c r="W12" s="64"/>
      <c r="X12" s="64"/>
      <c r="Y12" s="64"/>
      <c r="Z12" s="65" t="n">
        <f aca="false">DATEDIF(T12,U12,"D")</f>
        <v>0</v>
      </c>
      <c r="AA12" s="66" t="s">
        <v>61</v>
      </c>
      <c r="AC12" s="1"/>
    </row>
    <row r="13" s="15" customFormat="true" ht="24" hidden="false" customHeight="true" outlineLevel="0" collapsed="false">
      <c r="A13" s="58" t="s">
        <v>55</v>
      </c>
      <c r="B13" s="59" t="n">
        <v>2</v>
      </c>
      <c r="C13" s="67" t="s">
        <v>62</v>
      </c>
      <c r="D13" s="68" t="s">
        <v>63</v>
      </c>
      <c r="E13" s="68"/>
      <c r="F13" s="69" t="s">
        <v>58</v>
      </c>
      <c r="G13" s="70"/>
      <c r="H13" s="44"/>
      <c r="I13" s="70"/>
      <c r="J13" s="70"/>
      <c r="K13" s="56"/>
      <c r="L13" s="70"/>
      <c r="M13" s="70"/>
      <c r="N13" s="70"/>
      <c r="O13" s="63"/>
      <c r="P13" s="70"/>
      <c r="Q13" s="63" t="s">
        <v>58</v>
      </c>
      <c r="R13" s="64" t="s">
        <v>59</v>
      </c>
      <c r="S13" s="63" t="s">
        <v>60</v>
      </c>
      <c r="T13" s="71"/>
      <c r="U13" s="64"/>
      <c r="V13" s="64"/>
      <c r="W13" s="71"/>
      <c r="X13" s="71"/>
      <c r="Y13" s="71"/>
      <c r="Z13" s="65" t="n">
        <f aca="false">DATEDIF(T13,U13,"D")</f>
        <v>0</v>
      </c>
      <c r="AA13" s="72"/>
      <c r="AC13" s="1"/>
    </row>
    <row r="14" s="15" customFormat="true" ht="24" hidden="false" customHeight="true" outlineLevel="0" collapsed="false">
      <c r="A14" s="58" t="s">
        <v>55</v>
      </c>
      <c r="B14" s="59" t="n">
        <v>3</v>
      </c>
      <c r="C14" s="67" t="s">
        <v>64</v>
      </c>
      <c r="D14" s="68" t="s">
        <v>65</v>
      </c>
      <c r="E14" s="68"/>
      <c r="F14" s="69" t="s">
        <v>58</v>
      </c>
      <c r="G14" s="70"/>
      <c r="H14" s="44"/>
      <c r="I14" s="70"/>
      <c r="J14" s="70"/>
      <c r="K14" s="56"/>
      <c r="L14" s="70"/>
      <c r="M14" s="70"/>
      <c r="N14" s="70"/>
      <c r="O14" s="63"/>
      <c r="P14" s="73" t="s">
        <v>58</v>
      </c>
      <c r="Q14" s="63"/>
      <c r="R14" s="64" t="s">
        <v>59</v>
      </c>
      <c r="S14" s="63" t="s">
        <v>60</v>
      </c>
      <c r="T14" s="71"/>
      <c r="U14" s="64"/>
      <c r="V14" s="64"/>
      <c r="W14" s="71"/>
      <c r="X14" s="71"/>
      <c r="Y14" s="71"/>
      <c r="Z14" s="65" t="n">
        <f aca="false">DATEDIF(T14,U14,"D")</f>
        <v>0</v>
      </c>
      <c r="AA14" s="72"/>
      <c r="AC14" s="1"/>
    </row>
    <row r="15" s="15" customFormat="true" ht="24" hidden="false" customHeight="true" outlineLevel="0" collapsed="false">
      <c r="A15" s="58" t="s">
        <v>55</v>
      </c>
      <c r="B15" s="59" t="n">
        <v>4</v>
      </c>
      <c r="C15" s="67" t="s">
        <v>64</v>
      </c>
      <c r="D15" s="68" t="s">
        <v>66</v>
      </c>
      <c r="E15" s="68"/>
      <c r="F15" s="69" t="s">
        <v>58</v>
      </c>
      <c r="G15" s="70"/>
      <c r="H15" s="44"/>
      <c r="I15" s="70"/>
      <c r="J15" s="70"/>
      <c r="K15" s="56"/>
      <c r="L15" s="70"/>
      <c r="M15" s="70"/>
      <c r="N15" s="70"/>
      <c r="O15" s="63"/>
      <c r="P15" s="73" t="s">
        <v>58</v>
      </c>
      <c r="Q15" s="63"/>
      <c r="R15" s="64" t="s">
        <v>59</v>
      </c>
      <c r="S15" s="63" t="s">
        <v>60</v>
      </c>
      <c r="T15" s="71"/>
      <c r="U15" s="64"/>
      <c r="V15" s="64"/>
      <c r="W15" s="71"/>
      <c r="X15" s="71"/>
      <c r="Y15" s="71"/>
      <c r="Z15" s="65" t="n">
        <f aca="false">DATEDIF(T15,U15,"D")</f>
        <v>0</v>
      </c>
      <c r="AA15" s="72"/>
      <c r="AC15" s="1"/>
    </row>
    <row r="16" s="15" customFormat="true" ht="24" hidden="false" customHeight="true" outlineLevel="0" collapsed="false">
      <c r="A16" s="58" t="s">
        <v>55</v>
      </c>
      <c r="B16" s="59" t="n">
        <v>5</v>
      </c>
      <c r="C16" s="67" t="s">
        <v>64</v>
      </c>
      <c r="D16" s="74" t="s">
        <v>67</v>
      </c>
      <c r="E16" s="75"/>
      <c r="F16" s="69" t="s">
        <v>58</v>
      </c>
      <c r="G16" s="63"/>
      <c r="H16" s="63"/>
      <c r="I16" s="63"/>
      <c r="J16" s="63"/>
      <c r="K16" s="63"/>
      <c r="L16" s="63"/>
      <c r="M16" s="63"/>
      <c r="N16" s="63"/>
      <c r="O16" s="63"/>
      <c r="P16" s="63" t="s">
        <v>58</v>
      </c>
      <c r="Q16" s="63"/>
      <c r="R16" s="64" t="s">
        <v>59</v>
      </c>
      <c r="S16" s="63" t="s">
        <v>60</v>
      </c>
      <c r="T16" s="64"/>
      <c r="U16" s="64"/>
      <c r="V16" s="64"/>
      <c r="W16" s="64"/>
      <c r="X16" s="64"/>
      <c r="Y16" s="64"/>
      <c r="Z16" s="65" t="n">
        <f aca="false">DATEDIF(T16,U16,"D")</f>
        <v>0</v>
      </c>
      <c r="AA16" s="61"/>
    </row>
    <row r="17" s="15" customFormat="true" ht="24" hidden="false" customHeight="true" outlineLevel="0" collapsed="false">
      <c r="A17" s="58" t="s">
        <v>55</v>
      </c>
      <c r="B17" s="59" t="n">
        <v>6</v>
      </c>
      <c r="C17" s="67" t="s">
        <v>64</v>
      </c>
      <c r="D17" s="74" t="s">
        <v>68</v>
      </c>
      <c r="E17" s="75"/>
      <c r="F17" s="69" t="s">
        <v>58</v>
      </c>
      <c r="G17" s="63"/>
      <c r="H17" s="63"/>
      <c r="I17" s="63"/>
      <c r="J17" s="63"/>
      <c r="K17" s="63"/>
      <c r="L17" s="63"/>
      <c r="M17" s="63"/>
      <c r="N17" s="63"/>
      <c r="O17" s="63"/>
      <c r="P17" s="63" t="s">
        <v>58</v>
      </c>
      <c r="Q17" s="63"/>
      <c r="R17" s="64" t="s">
        <v>59</v>
      </c>
      <c r="S17" s="63" t="s">
        <v>60</v>
      </c>
      <c r="T17" s="64"/>
      <c r="U17" s="64"/>
      <c r="V17" s="64"/>
      <c r="W17" s="64"/>
      <c r="X17" s="64"/>
      <c r="Y17" s="64"/>
      <c r="Z17" s="65" t="n">
        <f aca="false">DATEDIF(T17,U17,"D")</f>
        <v>0</v>
      </c>
      <c r="AA17" s="61"/>
    </row>
    <row r="18" s="15" customFormat="true" ht="24" hidden="false" customHeight="true" outlineLevel="0" collapsed="false">
      <c r="A18" s="58" t="s">
        <v>55</v>
      </c>
      <c r="B18" s="59" t="n">
        <v>7</v>
      </c>
      <c r="C18" s="67" t="s">
        <v>64</v>
      </c>
      <c r="D18" s="74" t="s">
        <v>69</v>
      </c>
      <c r="E18" s="75"/>
      <c r="F18" s="69" t="s">
        <v>58</v>
      </c>
      <c r="G18" s="63"/>
      <c r="H18" s="63"/>
      <c r="I18" s="63"/>
      <c r="J18" s="63"/>
      <c r="K18" s="63"/>
      <c r="L18" s="63"/>
      <c r="M18" s="63"/>
      <c r="N18" s="63"/>
      <c r="O18" s="63"/>
      <c r="P18" s="63" t="s">
        <v>58</v>
      </c>
      <c r="Q18" s="63"/>
      <c r="R18" s="64" t="s">
        <v>59</v>
      </c>
      <c r="S18" s="63" t="s">
        <v>60</v>
      </c>
      <c r="T18" s="64"/>
      <c r="U18" s="64"/>
      <c r="V18" s="64"/>
      <c r="W18" s="64"/>
      <c r="X18" s="64"/>
      <c r="Y18" s="64"/>
      <c r="Z18" s="65" t="n">
        <f aca="false">DATEDIF(T18,U18,"D")</f>
        <v>0</v>
      </c>
      <c r="AA18" s="61"/>
    </row>
    <row r="19" s="15" customFormat="true" ht="24" hidden="false" customHeight="true" outlineLevel="0" collapsed="false">
      <c r="A19" s="58" t="s">
        <v>55</v>
      </c>
      <c r="B19" s="59" t="n">
        <v>8</v>
      </c>
      <c r="C19" s="67" t="s">
        <v>64</v>
      </c>
      <c r="D19" s="74" t="s">
        <v>70</v>
      </c>
      <c r="E19" s="75"/>
      <c r="F19" s="69" t="s">
        <v>58</v>
      </c>
      <c r="G19" s="63"/>
      <c r="H19" s="63"/>
      <c r="I19" s="63"/>
      <c r="J19" s="63"/>
      <c r="K19" s="63"/>
      <c r="L19" s="63"/>
      <c r="M19" s="63"/>
      <c r="N19" s="63"/>
      <c r="O19" s="63"/>
      <c r="P19" s="63" t="s">
        <v>58</v>
      </c>
      <c r="Q19" s="63"/>
      <c r="R19" s="64" t="s">
        <v>59</v>
      </c>
      <c r="S19" s="63" t="s">
        <v>60</v>
      </c>
      <c r="T19" s="64"/>
      <c r="U19" s="64"/>
      <c r="V19" s="64"/>
      <c r="W19" s="64"/>
      <c r="X19" s="64"/>
      <c r="Y19" s="64"/>
      <c r="Z19" s="65" t="n">
        <f aca="false">DATEDIF(T19,U19,"D")</f>
        <v>0</v>
      </c>
      <c r="AA19" s="61"/>
    </row>
    <row r="20" s="15" customFormat="true" ht="24" hidden="false" customHeight="true" outlineLevel="0" collapsed="false">
      <c r="A20" s="58" t="s">
        <v>55</v>
      </c>
      <c r="B20" s="59" t="n">
        <v>9</v>
      </c>
      <c r="C20" s="67" t="s">
        <v>64</v>
      </c>
      <c r="D20" s="74" t="s">
        <v>71</v>
      </c>
      <c r="E20" s="75"/>
      <c r="F20" s="69" t="s">
        <v>58</v>
      </c>
      <c r="G20" s="63"/>
      <c r="H20" s="63"/>
      <c r="I20" s="63"/>
      <c r="J20" s="63"/>
      <c r="K20" s="63"/>
      <c r="L20" s="63"/>
      <c r="M20" s="63"/>
      <c r="N20" s="63"/>
      <c r="O20" s="63"/>
      <c r="P20" s="63" t="s">
        <v>58</v>
      </c>
      <c r="Q20" s="63"/>
      <c r="R20" s="64" t="s">
        <v>59</v>
      </c>
      <c r="S20" s="63" t="s">
        <v>60</v>
      </c>
      <c r="T20" s="64"/>
      <c r="U20" s="64"/>
      <c r="V20" s="64"/>
      <c r="W20" s="64"/>
      <c r="X20" s="64"/>
      <c r="Y20" s="64"/>
      <c r="Z20" s="65" t="n">
        <f aca="false">DATEDIF(T20,U20,"D")</f>
        <v>0</v>
      </c>
      <c r="AA20" s="61"/>
    </row>
    <row r="21" s="15" customFormat="true" ht="24" hidden="false" customHeight="true" outlineLevel="0" collapsed="false">
      <c r="A21" s="58" t="s">
        <v>55</v>
      </c>
      <c r="B21" s="59" t="n">
        <v>10</v>
      </c>
      <c r="C21" s="67" t="s">
        <v>64</v>
      </c>
      <c r="D21" s="74" t="s">
        <v>72</v>
      </c>
      <c r="E21" s="75"/>
      <c r="F21" s="69" t="s">
        <v>58</v>
      </c>
      <c r="G21" s="63"/>
      <c r="H21" s="63"/>
      <c r="I21" s="63"/>
      <c r="J21" s="63"/>
      <c r="K21" s="63"/>
      <c r="L21" s="63"/>
      <c r="M21" s="63"/>
      <c r="N21" s="63"/>
      <c r="O21" s="63"/>
      <c r="P21" s="63" t="s">
        <v>58</v>
      </c>
      <c r="Q21" s="63"/>
      <c r="R21" s="64" t="s">
        <v>59</v>
      </c>
      <c r="S21" s="63" t="s">
        <v>60</v>
      </c>
      <c r="T21" s="64"/>
      <c r="U21" s="64"/>
      <c r="V21" s="64"/>
      <c r="W21" s="64"/>
      <c r="X21" s="64"/>
      <c r="Y21" s="64"/>
      <c r="Z21" s="65" t="n">
        <f aca="false">DATEDIF(T21,U21,"D")</f>
        <v>0</v>
      </c>
      <c r="AA21" s="61"/>
    </row>
    <row r="22" s="15" customFormat="true" ht="24" hidden="false" customHeight="true" outlineLevel="0" collapsed="false">
      <c r="A22" s="58" t="s">
        <v>55</v>
      </c>
      <c r="B22" s="59" t="n">
        <v>11</v>
      </c>
      <c r="C22" s="67" t="s">
        <v>73</v>
      </c>
      <c r="D22" s="68" t="s">
        <v>74</v>
      </c>
      <c r="E22" s="75"/>
      <c r="F22" s="69" t="s">
        <v>58</v>
      </c>
      <c r="G22" s="63"/>
      <c r="H22" s="63"/>
      <c r="I22" s="63"/>
      <c r="J22" s="63"/>
      <c r="K22" s="63"/>
      <c r="L22" s="63"/>
      <c r="M22" s="63"/>
      <c r="N22" s="63"/>
      <c r="O22" s="63"/>
      <c r="P22" s="63"/>
      <c r="Q22" s="63" t="s">
        <v>58</v>
      </c>
      <c r="R22" s="64" t="s">
        <v>59</v>
      </c>
      <c r="S22" s="63" t="s">
        <v>60</v>
      </c>
      <c r="T22" s="64"/>
      <c r="U22" s="64"/>
      <c r="V22" s="64"/>
      <c r="W22" s="64"/>
      <c r="X22" s="64"/>
      <c r="Y22" s="64"/>
      <c r="Z22" s="65" t="n">
        <f aca="false">DATEDIF(T22,U22,"D")</f>
        <v>0</v>
      </c>
      <c r="AA22" s="61" t="s">
        <v>75</v>
      </c>
    </row>
    <row r="23" s="15" customFormat="true" ht="24" hidden="false" customHeight="true" outlineLevel="0" collapsed="false">
      <c r="A23" s="58" t="s">
        <v>55</v>
      </c>
      <c r="B23" s="59" t="n">
        <v>12</v>
      </c>
      <c r="C23" s="67" t="s">
        <v>76</v>
      </c>
      <c r="D23" s="68" t="s">
        <v>77</v>
      </c>
      <c r="E23" s="75"/>
      <c r="F23" s="69" t="s">
        <v>58</v>
      </c>
      <c r="G23" s="63"/>
      <c r="H23" s="63"/>
      <c r="I23" s="63"/>
      <c r="J23" s="63"/>
      <c r="K23" s="63"/>
      <c r="L23" s="63"/>
      <c r="M23" s="63"/>
      <c r="N23" s="63"/>
      <c r="O23" s="63"/>
      <c r="P23" s="63"/>
      <c r="Q23" s="63" t="s">
        <v>58</v>
      </c>
      <c r="R23" s="64" t="s">
        <v>59</v>
      </c>
      <c r="S23" s="63" t="s">
        <v>60</v>
      </c>
      <c r="T23" s="64"/>
      <c r="U23" s="64"/>
      <c r="V23" s="64"/>
      <c r="W23" s="64"/>
      <c r="X23" s="64"/>
      <c r="Y23" s="64"/>
      <c r="Z23" s="65" t="n">
        <f aca="false">DATEDIF(T23,U23,"D")</f>
        <v>0</v>
      </c>
      <c r="AA23" s="61"/>
    </row>
    <row r="24" s="15" customFormat="true" ht="24" hidden="false" customHeight="true" outlineLevel="0" collapsed="false">
      <c r="A24" s="58" t="s">
        <v>55</v>
      </c>
      <c r="B24" s="59" t="n">
        <v>13</v>
      </c>
      <c r="C24" s="67" t="s">
        <v>78</v>
      </c>
      <c r="D24" s="68" t="s">
        <v>79</v>
      </c>
      <c r="E24" s="68"/>
      <c r="F24" s="69" t="s">
        <v>58</v>
      </c>
      <c r="G24" s="70"/>
      <c r="H24" s="44"/>
      <c r="I24" s="70"/>
      <c r="J24" s="70"/>
      <c r="K24" s="56"/>
      <c r="L24" s="70"/>
      <c r="M24" s="70"/>
      <c r="N24" s="70"/>
      <c r="O24" s="63"/>
      <c r="P24" s="70"/>
      <c r="Q24" s="63" t="s">
        <v>58</v>
      </c>
      <c r="R24" s="64" t="s">
        <v>59</v>
      </c>
      <c r="S24" s="63" t="s">
        <v>60</v>
      </c>
      <c r="T24" s="64"/>
      <c r="U24" s="64"/>
      <c r="V24" s="64"/>
      <c r="W24" s="64"/>
      <c r="X24" s="71"/>
      <c r="Y24" s="71"/>
      <c r="Z24" s="65" t="n">
        <f aca="false">DATEDIF(T24,U24,"D")</f>
        <v>0</v>
      </c>
      <c r="AA24" s="72"/>
      <c r="AC24" s="1"/>
    </row>
    <row r="25" customFormat="false" ht="24" hidden="false" customHeight="true" outlineLevel="0" collapsed="false">
      <c r="A25" s="58" t="s">
        <v>55</v>
      </c>
      <c r="B25" s="59" t="n">
        <v>14</v>
      </c>
      <c r="C25" s="67" t="s">
        <v>80</v>
      </c>
      <c r="D25" s="68" t="s">
        <v>81</v>
      </c>
      <c r="E25" s="68"/>
      <c r="F25" s="69" t="s">
        <v>58</v>
      </c>
      <c r="G25" s="70"/>
      <c r="H25" s="44"/>
      <c r="I25" s="70"/>
      <c r="J25" s="70"/>
      <c r="K25" s="56"/>
      <c r="L25" s="70"/>
      <c r="M25" s="70"/>
      <c r="N25" s="70"/>
      <c r="O25" s="63"/>
      <c r="P25" s="70"/>
      <c r="Q25" s="63" t="s">
        <v>58</v>
      </c>
      <c r="R25" s="64" t="s">
        <v>59</v>
      </c>
      <c r="S25" s="63" t="s">
        <v>60</v>
      </c>
      <c r="T25" s="71"/>
      <c r="U25" s="64"/>
      <c r="V25" s="64"/>
      <c r="W25" s="64"/>
      <c r="X25" s="71"/>
      <c r="Y25" s="71"/>
      <c r="Z25" s="65" t="n">
        <f aca="false">DATEDIF(T25,U25,"D")</f>
        <v>0</v>
      </c>
      <c r="AA25" s="72"/>
      <c r="AC25" s="1"/>
    </row>
    <row r="26" customFormat="false" ht="24" hidden="false" customHeight="true" outlineLevel="0" collapsed="false">
      <c r="A26" s="58" t="s">
        <v>55</v>
      </c>
      <c r="B26" s="59" t="n">
        <v>15</v>
      </c>
      <c r="C26" s="67" t="s">
        <v>80</v>
      </c>
      <c r="D26" s="68" t="s">
        <v>82</v>
      </c>
      <c r="E26" s="68"/>
      <c r="F26" s="69" t="s">
        <v>58</v>
      </c>
      <c r="G26" s="70"/>
      <c r="H26" s="44"/>
      <c r="I26" s="70"/>
      <c r="J26" s="70"/>
      <c r="K26" s="56"/>
      <c r="L26" s="70"/>
      <c r="M26" s="70"/>
      <c r="N26" s="70"/>
      <c r="O26" s="63"/>
      <c r="P26" s="70"/>
      <c r="Q26" s="63" t="s">
        <v>58</v>
      </c>
      <c r="R26" s="64" t="s">
        <v>59</v>
      </c>
      <c r="S26" s="63" t="s">
        <v>60</v>
      </c>
      <c r="T26" s="71"/>
      <c r="U26" s="64"/>
      <c r="V26" s="64"/>
      <c r="W26" s="64"/>
      <c r="X26" s="71"/>
      <c r="Y26" s="71"/>
      <c r="Z26" s="65" t="n">
        <f aca="false">DATEDIF(T26,U26,"D")</f>
        <v>0</v>
      </c>
      <c r="AA26" s="72"/>
      <c r="AC26" s="1"/>
    </row>
    <row r="27" customFormat="false" ht="24" hidden="false" customHeight="true" outlineLevel="0" collapsed="false">
      <c r="A27" s="58" t="s">
        <v>55</v>
      </c>
      <c r="B27" s="59" t="n">
        <v>16</v>
      </c>
      <c r="C27" s="67" t="s">
        <v>83</v>
      </c>
      <c r="D27" s="68" t="s">
        <v>84</v>
      </c>
      <c r="E27" s="68"/>
      <c r="F27" s="69" t="s">
        <v>58</v>
      </c>
      <c r="G27" s="70"/>
      <c r="H27" s="44"/>
      <c r="I27" s="70"/>
      <c r="J27" s="70"/>
      <c r="K27" s="56"/>
      <c r="L27" s="70"/>
      <c r="M27" s="70"/>
      <c r="N27" s="70"/>
      <c r="O27" s="63"/>
      <c r="P27" s="70"/>
      <c r="Q27" s="63" t="s">
        <v>58</v>
      </c>
      <c r="R27" s="64" t="s">
        <v>59</v>
      </c>
      <c r="S27" s="63" t="s">
        <v>60</v>
      </c>
      <c r="T27" s="71"/>
      <c r="U27" s="64"/>
      <c r="V27" s="64"/>
      <c r="W27" s="64"/>
      <c r="X27" s="71"/>
      <c r="Y27" s="71"/>
      <c r="Z27" s="65" t="n">
        <f aca="false">DATEDIF(T27,U27,"D")</f>
        <v>0</v>
      </c>
      <c r="AA27" s="72"/>
      <c r="AC27" s="1"/>
    </row>
    <row r="28" customFormat="false" ht="24" hidden="false" customHeight="true" outlineLevel="0" collapsed="false">
      <c r="A28" s="58" t="s">
        <v>55</v>
      </c>
      <c r="B28" s="59" t="n">
        <v>17</v>
      </c>
      <c r="C28" s="67" t="s">
        <v>85</v>
      </c>
      <c r="D28" s="68" t="s">
        <v>86</v>
      </c>
      <c r="E28" s="76"/>
      <c r="F28" s="69" t="s">
        <v>58</v>
      </c>
      <c r="G28" s="63"/>
      <c r="H28" s="63"/>
      <c r="I28" s="63"/>
      <c r="J28" s="63"/>
      <c r="K28" s="63"/>
      <c r="L28" s="63"/>
      <c r="M28" s="63"/>
      <c r="N28" s="63"/>
      <c r="O28" s="63" t="s">
        <v>58</v>
      </c>
      <c r="P28" s="63"/>
      <c r="Q28" s="63"/>
      <c r="R28" s="64" t="s">
        <v>59</v>
      </c>
      <c r="S28" s="63" t="s">
        <v>60</v>
      </c>
      <c r="T28" s="64"/>
      <c r="U28" s="64"/>
      <c r="V28" s="64"/>
      <c r="W28" s="64"/>
      <c r="X28" s="64"/>
      <c r="Y28" s="64"/>
      <c r="Z28" s="65" t="n">
        <f aca="false">DATEDIF(T28,U28,"D")</f>
        <v>0</v>
      </c>
      <c r="AA28" s="61"/>
      <c r="AC28" s="1"/>
    </row>
    <row r="29" customFormat="false" ht="24" hidden="false" customHeight="true" outlineLevel="0" collapsed="false">
      <c r="A29" s="58" t="s">
        <v>55</v>
      </c>
      <c r="B29" s="59" t="n">
        <v>18</v>
      </c>
      <c r="C29" s="67" t="s">
        <v>85</v>
      </c>
      <c r="D29" s="68" t="s">
        <v>87</v>
      </c>
      <c r="E29" s="68"/>
      <c r="F29" s="69" t="s">
        <v>58</v>
      </c>
      <c r="G29" s="70"/>
      <c r="H29" s="44"/>
      <c r="I29" s="70"/>
      <c r="J29" s="70"/>
      <c r="K29" s="56"/>
      <c r="L29" s="70"/>
      <c r="M29" s="70"/>
      <c r="N29" s="70"/>
      <c r="O29" s="63" t="s">
        <v>58</v>
      </c>
      <c r="P29" s="70"/>
      <c r="Q29" s="63"/>
      <c r="R29" s="64" t="s">
        <v>59</v>
      </c>
      <c r="S29" s="63" t="s">
        <v>60</v>
      </c>
      <c r="T29" s="64"/>
      <c r="U29" s="64"/>
      <c r="V29" s="64"/>
      <c r="W29" s="64"/>
      <c r="X29" s="71"/>
      <c r="Y29" s="71"/>
      <c r="Z29" s="65" t="n">
        <f aca="false">DATEDIF(T29,U29,"D")</f>
        <v>0</v>
      </c>
      <c r="AA29" s="72"/>
      <c r="AC29" s="1"/>
    </row>
    <row r="30" customFormat="false" ht="24" hidden="false" customHeight="true" outlineLevel="0" collapsed="false">
      <c r="A30" s="58" t="s">
        <v>55</v>
      </c>
      <c r="B30" s="59" t="n">
        <v>19</v>
      </c>
      <c r="C30" s="67" t="s">
        <v>88</v>
      </c>
      <c r="D30" s="68" t="s">
        <v>89</v>
      </c>
      <c r="E30" s="68"/>
      <c r="F30" s="69" t="s">
        <v>58</v>
      </c>
      <c r="G30" s="70"/>
      <c r="H30" s="44"/>
      <c r="I30" s="70"/>
      <c r="J30" s="70"/>
      <c r="K30" s="56"/>
      <c r="L30" s="70"/>
      <c r="M30" s="70"/>
      <c r="N30" s="70"/>
      <c r="O30" s="63"/>
      <c r="P30" s="70"/>
      <c r="Q30" s="63" t="s">
        <v>58</v>
      </c>
      <c r="R30" s="64" t="s">
        <v>59</v>
      </c>
      <c r="S30" s="63" t="s">
        <v>60</v>
      </c>
      <c r="T30" s="64"/>
      <c r="U30" s="64"/>
      <c r="V30" s="64"/>
      <c r="W30" s="64"/>
      <c r="X30" s="71"/>
      <c r="Y30" s="71"/>
      <c r="Z30" s="65" t="n">
        <f aca="false">DATEDIF(T30,U30,"D")</f>
        <v>0</v>
      </c>
      <c r="AA30" s="72"/>
      <c r="AC30" s="1"/>
    </row>
    <row r="31" customFormat="false" ht="24" hidden="false" customHeight="true" outlineLevel="0" collapsed="false">
      <c r="A31" s="58" t="s">
        <v>55</v>
      </c>
      <c r="B31" s="59" t="n">
        <v>20</v>
      </c>
      <c r="C31" s="67" t="s">
        <v>90</v>
      </c>
      <c r="D31" s="68" t="s">
        <v>91</v>
      </c>
      <c r="E31" s="68"/>
      <c r="F31" s="69" t="s">
        <v>58</v>
      </c>
      <c r="G31" s="70"/>
      <c r="H31" s="44"/>
      <c r="I31" s="70"/>
      <c r="J31" s="70"/>
      <c r="K31" s="56"/>
      <c r="L31" s="70"/>
      <c r="M31" s="70"/>
      <c r="N31" s="70"/>
      <c r="O31" s="63"/>
      <c r="P31" s="70"/>
      <c r="Q31" s="63" t="s">
        <v>58</v>
      </c>
      <c r="R31" s="64" t="s">
        <v>59</v>
      </c>
      <c r="S31" s="63" t="s">
        <v>60</v>
      </c>
      <c r="T31" s="64"/>
      <c r="U31" s="64"/>
      <c r="V31" s="64"/>
      <c r="W31" s="64"/>
      <c r="X31" s="71"/>
      <c r="Y31" s="71"/>
      <c r="Z31" s="65" t="n">
        <f aca="false">DATEDIF(T31,U31,"D")</f>
        <v>0</v>
      </c>
      <c r="AA31" s="72"/>
      <c r="AC31" s="1"/>
    </row>
    <row r="32" customFormat="false" ht="24" hidden="false" customHeight="true" outlineLevel="0" collapsed="false">
      <c r="A32" s="58" t="s">
        <v>55</v>
      </c>
      <c r="B32" s="59" t="n">
        <v>21</v>
      </c>
      <c r="C32" s="67" t="s">
        <v>92</v>
      </c>
      <c r="D32" s="68" t="s">
        <v>93</v>
      </c>
      <c r="E32" s="68"/>
      <c r="F32" s="69" t="s">
        <v>58</v>
      </c>
      <c r="G32" s="70"/>
      <c r="H32" s="44"/>
      <c r="I32" s="70"/>
      <c r="J32" s="70"/>
      <c r="K32" s="56"/>
      <c r="L32" s="70"/>
      <c r="M32" s="70"/>
      <c r="N32" s="70"/>
      <c r="O32" s="63"/>
      <c r="P32" s="70"/>
      <c r="Q32" s="63" t="s">
        <v>58</v>
      </c>
      <c r="R32" s="64" t="s">
        <v>59</v>
      </c>
      <c r="S32" s="63" t="s">
        <v>60</v>
      </c>
      <c r="T32" s="64"/>
      <c r="U32" s="64"/>
      <c r="V32" s="64"/>
      <c r="W32" s="64"/>
      <c r="X32" s="71"/>
      <c r="Y32" s="71"/>
      <c r="Z32" s="65" t="n">
        <f aca="false">DATEDIF(T32,U32,"D")</f>
        <v>0</v>
      </c>
      <c r="AA32" s="72"/>
      <c r="AC32" s="1"/>
    </row>
    <row r="33" s="15" customFormat="true" ht="33.75" hidden="true" customHeight="true" outlineLevel="0" collapsed="false">
      <c r="A33" s="58" t="s">
        <v>55</v>
      </c>
      <c r="B33" s="59"/>
      <c r="C33" s="67" t="s">
        <v>94</v>
      </c>
      <c r="D33" s="77" t="s">
        <v>95</v>
      </c>
      <c r="E33" s="75"/>
      <c r="F33" s="69" t="s">
        <v>58</v>
      </c>
      <c r="G33" s="63"/>
      <c r="H33" s="63"/>
      <c r="I33" s="63"/>
      <c r="J33" s="63"/>
      <c r="K33" s="63"/>
      <c r="L33" s="63"/>
      <c r="M33" s="63"/>
      <c r="N33" s="63"/>
      <c r="O33" s="63"/>
      <c r="P33" s="63"/>
      <c r="Q33" s="63" t="s">
        <v>58</v>
      </c>
      <c r="R33" s="64" t="s">
        <v>59</v>
      </c>
      <c r="S33" s="63" t="s">
        <v>60</v>
      </c>
      <c r="T33" s="71"/>
      <c r="U33" s="64"/>
      <c r="V33" s="64"/>
      <c r="W33" s="64"/>
      <c r="X33" s="71"/>
      <c r="Y33" s="71"/>
      <c r="Z33" s="65" t="n">
        <f aca="false">DATEDIF(T33,U33,"D")</f>
        <v>0</v>
      </c>
      <c r="AA33" s="72"/>
      <c r="AC33" s="4"/>
    </row>
    <row r="34" customFormat="false" ht="24" hidden="false" customHeight="true" outlineLevel="0" collapsed="false">
      <c r="A34" s="58" t="s">
        <v>55</v>
      </c>
      <c r="B34" s="59" t="n">
        <v>22</v>
      </c>
      <c r="C34" s="67" t="s">
        <v>96</v>
      </c>
      <c r="D34" s="78" t="s">
        <v>97</v>
      </c>
      <c r="E34" s="75"/>
      <c r="F34" s="69" t="s">
        <v>58</v>
      </c>
      <c r="G34" s="63"/>
      <c r="H34" s="63"/>
      <c r="I34" s="63"/>
      <c r="J34" s="63"/>
      <c r="K34" s="63"/>
      <c r="L34" s="63"/>
      <c r="M34" s="63"/>
      <c r="N34" s="63"/>
      <c r="O34" s="63"/>
      <c r="P34" s="63"/>
      <c r="Q34" s="63" t="s">
        <v>58</v>
      </c>
      <c r="R34" s="64" t="s">
        <v>59</v>
      </c>
      <c r="S34" s="63" t="s">
        <v>60</v>
      </c>
      <c r="T34" s="64"/>
      <c r="U34" s="64"/>
      <c r="V34" s="64"/>
      <c r="W34" s="64"/>
      <c r="X34" s="64"/>
      <c r="Y34" s="64"/>
      <c r="Z34" s="65" t="n">
        <f aca="false">DATEDIF(T34,U34,"D")</f>
        <v>0</v>
      </c>
      <c r="AA34" s="61" t="s">
        <v>98</v>
      </c>
      <c r="AC34" s="1"/>
    </row>
    <row r="35" customFormat="false" ht="24" hidden="false" customHeight="true" outlineLevel="0" collapsed="false">
      <c r="A35" s="58" t="s">
        <v>55</v>
      </c>
      <c r="B35" s="59" t="n">
        <v>23</v>
      </c>
      <c r="C35" s="67" t="s">
        <v>99</v>
      </c>
      <c r="D35" s="78" t="s">
        <v>100</v>
      </c>
      <c r="E35" s="75"/>
      <c r="F35" s="69" t="s">
        <v>58</v>
      </c>
      <c r="G35" s="63"/>
      <c r="H35" s="63"/>
      <c r="I35" s="63"/>
      <c r="J35" s="63"/>
      <c r="K35" s="63"/>
      <c r="L35" s="63"/>
      <c r="M35" s="63"/>
      <c r="N35" s="63"/>
      <c r="O35" s="63"/>
      <c r="P35" s="63"/>
      <c r="Q35" s="63" t="s">
        <v>58</v>
      </c>
      <c r="R35" s="64" t="s">
        <v>59</v>
      </c>
      <c r="S35" s="63" t="s">
        <v>60</v>
      </c>
      <c r="T35" s="64"/>
      <c r="U35" s="64"/>
      <c r="V35" s="64"/>
      <c r="W35" s="64"/>
      <c r="X35" s="64"/>
      <c r="Y35" s="64"/>
      <c r="Z35" s="65" t="n">
        <f aca="false">DATEDIF(T35,U35,"D")</f>
        <v>0</v>
      </c>
      <c r="AA35" s="61"/>
      <c r="AC35" s="1"/>
    </row>
    <row r="36" customFormat="false" ht="24" hidden="false" customHeight="true" outlineLevel="0" collapsed="false">
      <c r="A36" s="58" t="s">
        <v>55</v>
      </c>
      <c r="B36" s="59" t="n">
        <v>24</v>
      </c>
      <c r="C36" s="67" t="s">
        <v>101</v>
      </c>
      <c r="D36" s="78" t="s">
        <v>102</v>
      </c>
      <c r="E36" s="75"/>
      <c r="F36" s="69" t="s">
        <v>58</v>
      </c>
      <c r="G36" s="63"/>
      <c r="H36" s="63"/>
      <c r="I36" s="63"/>
      <c r="J36" s="63"/>
      <c r="K36" s="63"/>
      <c r="L36" s="63"/>
      <c r="M36" s="63"/>
      <c r="N36" s="63"/>
      <c r="O36" s="63"/>
      <c r="P36" s="63"/>
      <c r="Q36" s="63" t="s">
        <v>58</v>
      </c>
      <c r="R36" s="64" t="s">
        <v>59</v>
      </c>
      <c r="S36" s="63" t="s">
        <v>60</v>
      </c>
      <c r="T36" s="71"/>
      <c r="U36" s="71"/>
      <c r="V36" s="44"/>
      <c r="W36" s="44"/>
      <c r="X36" s="44"/>
      <c r="Y36" s="44"/>
      <c r="Z36" s="65" t="n">
        <f aca="false">DATEDIF(T36,U36,"D")</f>
        <v>0</v>
      </c>
      <c r="AA36" s="44"/>
    </row>
    <row r="37" s="15" customFormat="true" ht="24" hidden="false" customHeight="true" outlineLevel="0" collapsed="false">
      <c r="A37" s="58" t="s">
        <v>55</v>
      </c>
      <c r="B37" s="59" t="n">
        <v>25</v>
      </c>
      <c r="C37" s="67" t="s">
        <v>103</v>
      </c>
      <c r="D37" s="78" t="s">
        <v>104</v>
      </c>
      <c r="E37" s="75"/>
      <c r="F37" s="69" t="s">
        <v>58</v>
      </c>
      <c r="G37" s="63"/>
      <c r="H37" s="63"/>
      <c r="I37" s="63"/>
      <c r="J37" s="63"/>
      <c r="K37" s="63"/>
      <c r="L37" s="63"/>
      <c r="M37" s="63"/>
      <c r="N37" s="63"/>
      <c r="O37" s="63"/>
      <c r="P37" s="63"/>
      <c r="Q37" s="63" t="s">
        <v>58</v>
      </c>
      <c r="R37" s="64" t="s">
        <v>59</v>
      </c>
      <c r="S37" s="63" t="s">
        <v>60</v>
      </c>
      <c r="T37" s="71"/>
      <c r="U37" s="64"/>
      <c r="V37" s="64"/>
      <c r="W37" s="64"/>
      <c r="X37" s="71"/>
      <c r="Y37" s="71"/>
      <c r="Z37" s="65" t="n">
        <f aca="false">DATEDIF(T37,U37,"D")</f>
        <v>0</v>
      </c>
      <c r="AA37" s="72"/>
      <c r="AC37" s="4"/>
    </row>
    <row r="38" s="15" customFormat="true" ht="24" hidden="false" customHeight="true" outlineLevel="0" collapsed="false">
      <c r="A38" s="58" t="s">
        <v>55</v>
      </c>
      <c r="B38" s="59" t="n">
        <v>26</v>
      </c>
      <c r="C38" s="67" t="s">
        <v>105</v>
      </c>
      <c r="D38" s="78" t="s">
        <v>106</v>
      </c>
      <c r="E38" s="75"/>
      <c r="F38" s="69" t="s">
        <v>58</v>
      </c>
      <c r="G38" s="63"/>
      <c r="H38" s="63"/>
      <c r="I38" s="63"/>
      <c r="J38" s="63"/>
      <c r="K38" s="63"/>
      <c r="L38" s="63"/>
      <c r="M38" s="63"/>
      <c r="N38" s="63"/>
      <c r="O38" s="63"/>
      <c r="P38" s="63"/>
      <c r="Q38" s="63" t="s">
        <v>58</v>
      </c>
      <c r="R38" s="64" t="s">
        <v>59</v>
      </c>
      <c r="S38" s="63" t="s">
        <v>60</v>
      </c>
      <c r="T38" s="71"/>
      <c r="U38" s="64"/>
      <c r="V38" s="64"/>
      <c r="W38" s="64"/>
      <c r="X38" s="71"/>
      <c r="Y38" s="71"/>
      <c r="Z38" s="65" t="n">
        <f aca="false">DATEDIF(T38,U38,"D")</f>
        <v>0</v>
      </c>
      <c r="AA38" s="72"/>
      <c r="AC38" s="4"/>
    </row>
    <row r="39" s="79" customFormat="true" ht="24" hidden="false" customHeight="true" outlineLevel="0" collapsed="false">
      <c r="A39" s="58" t="s">
        <v>55</v>
      </c>
      <c r="B39" s="59" t="n">
        <v>27</v>
      </c>
      <c r="C39" s="67" t="s">
        <v>107</v>
      </c>
      <c r="D39" s="78" t="s">
        <v>108</v>
      </c>
      <c r="E39" s="75"/>
      <c r="F39" s="69" t="s">
        <v>58</v>
      </c>
      <c r="G39" s="63"/>
      <c r="H39" s="63"/>
      <c r="I39" s="63"/>
      <c r="J39" s="63"/>
      <c r="K39" s="63"/>
      <c r="L39" s="63"/>
      <c r="M39" s="63"/>
      <c r="N39" s="63"/>
      <c r="O39" s="63"/>
      <c r="P39" s="63"/>
      <c r="Q39" s="63" t="s">
        <v>58</v>
      </c>
      <c r="R39" s="64" t="s">
        <v>59</v>
      </c>
      <c r="S39" s="63" t="s">
        <v>60</v>
      </c>
      <c r="T39" s="71"/>
      <c r="U39" s="64"/>
      <c r="V39" s="64"/>
      <c r="W39" s="64"/>
      <c r="X39" s="64"/>
      <c r="Y39" s="64"/>
      <c r="Z39" s="65" t="n">
        <f aca="false">DATEDIF(T39,U39,"D")</f>
        <v>0</v>
      </c>
      <c r="AA39" s="61"/>
    </row>
    <row r="40" s="15" customFormat="true" ht="24" hidden="false" customHeight="true" outlineLevel="0" collapsed="false">
      <c r="A40" s="58" t="s">
        <v>55</v>
      </c>
      <c r="B40" s="59" t="n">
        <v>28</v>
      </c>
      <c r="C40" s="80" t="s">
        <v>109</v>
      </c>
      <c r="D40" s="74" t="s">
        <v>110</v>
      </c>
      <c r="E40" s="75"/>
      <c r="F40" s="81" t="s">
        <v>58</v>
      </c>
      <c r="G40" s="63"/>
      <c r="H40" s="63"/>
      <c r="I40" s="63"/>
      <c r="J40" s="63"/>
      <c r="K40" s="63"/>
      <c r="L40" s="63"/>
      <c r="M40" s="63"/>
      <c r="N40" s="63"/>
      <c r="O40" s="63"/>
      <c r="P40" s="63"/>
      <c r="Q40" s="63" t="s">
        <v>58</v>
      </c>
      <c r="R40" s="63" t="s">
        <v>111</v>
      </c>
      <c r="S40" s="64" t="s">
        <v>60</v>
      </c>
      <c r="T40" s="64"/>
      <c r="U40" s="64"/>
      <c r="V40" s="64"/>
      <c r="W40" s="64"/>
      <c r="X40" s="64"/>
      <c r="Y40" s="64"/>
      <c r="Z40" s="65" t="n">
        <f aca="false">DATEDIF(T40,U40,"D")</f>
        <v>0</v>
      </c>
      <c r="AA40" s="61" t="s">
        <v>112</v>
      </c>
    </row>
    <row r="41" s="15" customFormat="true" ht="24" hidden="false" customHeight="true" outlineLevel="0" collapsed="false">
      <c r="A41" s="58" t="s">
        <v>55</v>
      </c>
      <c r="B41" s="59" t="n">
        <v>29</v>
      </c>
      <c r="C41" s="80" t="s">
        <v>113</v>
      </c>
      <c r="D41" s="74" t="s">
        <v>114</v>
      </c>
      <c r="E41" s="75"/>
      <c r="F41" s="81" t="s">
        <v>58</v>
      </c>
      <c r="G41" s="63"/>
      <c r="H41" s="63"/>
      <c r="I41" s="63"/>
      <c r="J41" s="63"/>
      <c r="K41" s="63"/>
      <c r="L41" s="63" t="s">
        <v>58</v>
      </c>
      <c r="M41" s="63"/>
      <c r="N41" s="63" t="s">
        <v>58</v>
      </c>
      <c r="O41" s="63"/>
      <c r="P41" s="63"/>
      <c r="Q41" s="63"/>
      <c r="R41" s="63" t="s">
        <v>111</v>
      </c>
      <c r="S41" s="64" t="s">
        <v>60</v>
      </c>
      <c r="T41" s="64"/>
      <c r="U41" s="64"/>
      <c r="V41" s="64"/>
      <c r="W41" s="64"/>
      <c r="X41" s="64"/>
      <c r="Y41" s="64"/>
      <c r="Z41" s="65" t="n">
        <f aca="false">DATEDIF(T41,U41,"D")</f>
        <v>0</v>
      </c>
      <c r="AA41" s="61"/>
    </row>
    <row r="42" s="15" customFormat="true" ht="24" hidden="false" customHeight="true" outlineLevel="0" collapsed="false">
      <c r="A42" s="58" t="s">
        <v>55</v>
      </c>
      <c r="B42" s="59" t="n">
        <v>30</v>
      </c>
      <c r="C42" s="80" t="s">
        <v>115</v>
      </c>
      <c r="D42" s="74" t="s">
        <v>116</v>
      </c>
      <c r="E42" s="75"/>
      <c r="F42" s="81" t="s">
        <v>58</v>
      </c>
      <c r="G42" s="63"/>
      <c r="H42" s="63"/>
      <c r="I42" s="63"/>
      <c r="J42" s="63"/>
      <c r="K42" s="63"/>
      <c r="L42" s="63"/>
      <c r="M42" s="63"/>
      <c r="N42" s="63"/>
      <c r="O42" s="63"/>
      <c r="P42" s="63"/>
      <c r="Q42" s="63"/>
      <c r="R42" s="63" t="s">
        <v>111</v>
      </c>
      <c r="S42" s="64" t="s">
        <v>60</v>
      </c>
      <c r="T42" s="64"/>
      <c r="U42" s="64"/>
      <c r="V42" s="64"/>
      <c r="W42" s="64"/>
      <c r="X42" s="64"/>
      <c r="Y42" s="64"/>
      <c r="Z42" s="65" t="n">
        <f aca="false">DATEDIF(T42,U42,"D")</f>
        <v>0</v>
      </c>
      <c r="AA42" s="61"/>
    </row>
    <row r="43" customFormat="false" ht="24" hidden="false" customHeight="true" outlineLevel="0" collapsed="false">
      <c r="A43" s="58" t="s">
        <v>55</v>
      </c>
      <c r="B43" s="59" t="n">
        <v>31</v>
      </c>
      <c r="C43" s="82" t="n">
        <v>283100</v>
      </c>
      <c r="D43" s="67" t="s">
        <v>117</v>
      </c>
      <c r="E43" s="46"/>
      <c r="F43" s="83" t="s">
        <v>58</v>
      </c>
      <c r="G43" s="44"/>
      <c r="H43" s="44"/>
      <c r="I43" s="44"/>
      <c r="J43" s="44"/>
      <c r="K43" s="44"/>
      <c r="L43" s="44"/>
      <c r="M43" s="63" t="s">
        <v>58</v>
      </c>
      <c r="N43" s="44"/>
      <c r="O43" s="63"/>
      <c r="P43" s="44"/>
      <c r="Q43" s="63"/>
      <c r="R43" s="63" t="s">
        <v>111</v>
      </c>
      <c r="S43" s="64" t="s">
        <v>60</v>
      </c>
      <c r="T43" s="71"/>
      <c r="U43" s="71"/>
      <c r="V43" s="44"/>
      <c r="W43" s="44"/>
      <c r="X43" s="44"/>
      <c r="Y43" s="44"/>
      <c r="Z43" s="65" t="n">
        <f aca="false">DATEDIF(T43,U43,"D")</f>
        <v>0</v>
      </c>
      <c r="AA43" s="44"/>
    </row>
    <row r="44" customFormat="false" ht="24" hidden="false" customHeight="true" outlineLevel="0" collapsed="false">
      <c r="A44" s="58" t="s">
        <v>55</v>
      </c>
      <c r="B44" s="59" t="n">
        <v>32</v>
      </c>
      <c r="C44" s="67" t="s">
        <v>118</v>
      </c>
      <c r="D44" s="84" t="s">
        <v>119</v>
      </c>
      <c r="E44" s="85"/>
      <c r="F44" s="83" t="s">
        <v>58</v>
      </c>
      <c r="G44" s="44"/>
      <c r="H44" s="44"/>
      <c r="I44" s="44"/>
      <c r="J44" s="44"/>
      <c r="K44" s="44"/>
      <c r="L44" s="44"/>
      <c r="M44" s="44"/>
      <c r="N44" s="44"/>
      <c r="O44" s="63"/>
      <c r="P44" s="44"/>
      <c r="Q44" s="63" t="s">
        <v>58</v>
      </c>
      <c r="R44" s="64" t="s">
        <v>120</v>
      </c>
      <c r="S44" s="63" t="s">
        <v>60</v>
      </c>
      <c r="T44" s="71"/>
      <c r="U44" s="64"/>
      <c r="V44" s="64"/>
      <c r="W44" s="71"/>
      <c r="X44" s="71"/>
      <c r="Y44" s="71"/>
      <c r="Z44" s="65" t="n">
        <f aca="false">DATEDIF(T44,U44,"D")</f>
        <v>0</v>
      </c>
      <c r="AA44" s="72"/>
    </row>
    <row r="45" customFormat="false" ht="24" hidden="false" customHeight="true" outlineLevel="0" collapsed="false">
      <c r="A45" s="58" t="s">
        <v>55</v>
      </c>
      <c r="B45" s="59" t="n">
        <v>33</v>
      </c>
      <c r="C45" s="85" t="s">
        <v>121</v>
      </c>
      <c r="D45" s="86" t="s">
        <v>122</v>
      </c>
      <c r="E45" s="76"/>
      <c r="F45" s="69" t="s">
        <v>58</v>
      </c>
      <c r="G45" s="44"/>
      <c r="H45" s="44"/>
      <c r="I45" s="44"/>
      <c r="J45" s="44"/>
      <c r="K45" s="44"/>
      <c r="L45" s="44"/>
      <c r="M45" s="44"/>
      <c r="N45" s="44"/>
      <c r="O45" s="44"/>
      <c r="P45" s="44"/>
      <c r="Q45" s="63" t="s">
        <v>58</v>
      </c>
      <c r="R45" s="64" t="s">
        <v>120</v>
      </c>
      <c r="S45" s="64" t="s">
        <v>60</v>
      </c>
      <c r="T45" s="71"/>
      <c r="U45" s="87"/>
      <c r="V45" s="64"/>
      <c r="W45" s="71"/>
      <c r="X45" s="71"/>
      <c r="Y45" s="71"/>
      <c r="Z45" s="65" t="n">
        <f aca="false">DATEDIF(T45,U45,"D")</f>
        <v>0</v>
      </c>
      <c r="AA45" s="72"/>
    </row>
    <row r="46" customFormat="false" ht="24" hidden="false" customHeight="true" outlineLevel="0" collapsed="false">
      <c r="A46" s="58" t="s">
        <v>55</v>
      </c>
      <c r="B46" s="59" t="n">
        <v>34</v>
      </c>
      <c r="C46" s="67" t="s">
        <v>123</v>
      </c>
      <c r="D46" s="88" t="s">
        <v>124</v>
      </c>
      <c r="E46" s="75"/>
      <c r="F46" s="81" t="s">
        <v>58</v>
      </c>
      <c r="G46" s="44"/>
      <c r="H46" s="44"/>
      <c r="I46" s="44"/>
      <c r="J46" s="44"/>
      <c r="K46" s="44"/>
      <c r="L46" s="44"/>
      <c r="M46" s="44"/>
      <c r="N46" s="44"/>
      <c r="O46" s="63"/>
      <c r="P46" s="44"/>
      <c r="Q46" s="63" t="s">
        <v>58</v>
      </c>
      <c r="R46" s="63" t="s">
        <v>120</v>
      </c>
      <c r="S46" s="63" t="s">
        <v>60</v>
      </c>
      <c r="T46" s="71"/>
      <c r="U46" s="64"/>
      <c r="V46" s="64"/>
      <c r="W46" s="71"/>
      <c r="X46" s="71"/>
      <c r="Y46" s="71"/>
      <c r="Z46" s="65" t="n">
        <f aca="false">DATEDIF(T46,U46,"D")</f>
        <v>0</v>
      </c>
      <c r="AA46" s="61"/>
    </row>
    <row r="47" customFormat="false" ht="24" hidden="false" customHeight="true" outlineLevel="0" collapsed="false">
      <c r="A47" s="58" t="s">
        <v>55</v>
      </c>
      <c r="B47" s="59" t="n">
        <v>35</v>
      </c>
      <c r="C47" s="89" t="s">
        <v>125</v>
      </c>
      <c r="D47" s="90" t="s">
        <v>126</v>
      </c>
      <c r="E47" s="62"/>
      <c r="F47" s="63" t="s">
        <v>58</v>
      </c>
      <c r="G47" s="44"/>
      <c r="H47" s="63"/>
      <c r="I47" s="44"/>
      <c r="J47" s="44"/>
      <c r="K47" s="44"/>
      <c r="L47" s="63" t="s">
        <v>58</v>
      </c>
      <c r="M47" s="44"/>
      <c r="N47" s="63" t="s">
        <v>58</v>
      </c>
      <c r="O47" s="44"/>
      <c r="P47" s="44"/>
      <c r="Q47" s="63"/>
      <c r="R47" s="63" t="s">
        <v>120</v>
      </c>
      <c r="S47" s="64" t="s">
        <v>60</v>
      </c>
      <c r="T47" s="71"/>
      <c r="U47" s="64"/>
      <c r="V47" s="64"/>
      <c r="W47" s="71"/>
      <c r="X47" s="71"/>
      <c r="Y47" s="71"/>
      <c r="Z47" s="65" t="n">
        <f aca="false">DATEDIF(T47,U47,"D")</f>
        <v>0</v>
      </c>
      <c r="AA47" s="61"/>
    </row>
    <row r="48" customFormat="false" ht="24" hidden="false" customHeight="true" outlineLevel="0" collapsed="false">
      <c r="A48" s="58" t="s">
        <v>55</v>
      </c>
      <c r="B48" s="59" t="n">
        <v>36</v>
      </c>
      <c r="C48" s="67" t="s">
        <v>127</v>
      </c>
      <c r="D48" s="84" t="s">
        <v>128</v>
      </c>
      <c r="E48" s="85"/>
      <c r="F48" s="83" t="s">
        <v>58</v>
      </c>
      <c r="G48" s="44"/>
      <c r="H48" s="44"/>
      <c r="I48" s="44"/>
      <c r="J48" s="44"/>
      <c r="K48" s="44"/>
      <c r="L48" s="44"/>
      <c r="M48" s="44"/>
      <c r="N48" s="44"/>
      <c r="O48" s="63"/>
      <c r="P48" s="44"/>
      <c r="Q48" s="63" t="s">
        <v>58</v>
      </c>
      <c r="R48" s="63" t="s">
        <v>120</v>
      </c>
      <c r="S48" s="64" t="s">
        <v>60</v>
      </c>
      <c r="T48" s="71"/>
      <c r="U48" s="63"/>
      <c r="V48" s="64"/>
      <c r="W48" s="71"/>
      <c r="X48" s="63"/>
      <c r="Y48" s="64"/>
      <c r="Z48" s="65" t="n">
        <f aca="false">DATEDIF(T48,U48,"D")</f>
        <v>0</v>
      </c>
      <c r="AA48" s="61"/>
    </row>
    <row r="49" customFormat="false" ht="24" hidden="false" customHeight="true" outlineLevel="0" collapsed="false">
      <c r="A49" s="58" t="s">
        <v>55</v>
      </c>
      <c r="B49" s="59" t="n">
        <v>37</v>
      </c>
      <c r="C49" s="89" t="s">
        <v>129</v>
      </c>
      <c r="D49" s="90" t="s">
        <v>130</v>
      </c>
      <c r="E49" s="62"/>
      <c r="F49" s="63" t="s">
        <v>58</v>
      </c>
      <c r="G49" s="44"/>
      <c r="H49" s="63"/>
      <c r="I49" s="44"/>
      <c r="J49" s="44"/>
      <c r="K49" s="44"/>
      <c r="L49" s="44"/>
      <c r="M49" s="44"/>
      <c r="N49" s="44"/>
      <c r="O49" s="44"/>
      <c r="P49" s="44"/>
      <c r="Q49" s="63" t="s">
        <v>58</v>
      </c>
      <c r="R49" s="63" t="s">
        <v>120</v>
      </c>
      <c r="S49" s="64" t="s">
        <v>131</v>
      </c>
      <c r="T49" s="71"/>
      <c r="U49" s="64"/>
      <c r="V49" s="64"/>
      <c r="W49" s="71"/>
      <c r="X49" s="63"/>
      <c r="Y49" s="64"/>
      <c r="Z49" s="65" t="n">
        <f aca="false">DATEDIF(T49,U49,"D")</f>
        <v>0</v>
      </c>
      <c r="AA49" s="61"/>
    </row>
    <row r="50" customFormat="false" ht="24" hidden="false" customHeight="true" outlineLevel="0" collapsed="false"/>
    <row r="51" customFormat="false" ht="24" hidden="false" customHeight="true" outlineLevel="0" collapsed="false">
      <c r="A51" s="58"/>
      <c r="D51" s="15"/>
    </row>
    <row r="52" customFormat="false" ht="24" hidden="false" customHeight="true" outlineLevel="0" collapsed="false">
      <c r="A52" s="58"/>
      <c r="D52" s="15"/>
    </row>
    <row r="53" customFormat="false" ht="24" hidden="false" customHeight="true" outlineLevel="0" collapsed="false">
      <c r="A53" s="58"/>
      <c r="D53" s="15"/>
    </row>
    <row r="54" customFormat="false" ht="24" hidden="false" customHeight="true" outlineLevel="0" collapsed="false">
      <c r="A54" s="58"/>
      <c r="D54" s="15"/>
    </row>
    <row r="55" customFormat="false" ht="24" hidden="false" customHeight="true" outlineLevel="0" collapsed="false">
      <c r="A55" s="58"/>
      <c r="D55" s="15"/>
    </row>
    <row r="56" customFormat="false" ht="24" hidden="false" customHeight="true" outlineLevel="0" collapsed="false"/>
    <row r="57" customFormat="false" ht="24" hidden="false" customHeight="true" outlineLevel="0" collapsed="false"/>
    <row r="58" customFormat="false" ht="24" hidden="false" customHeight="true" outlineLevel="0" collapsed="false"/>
    <row r="59" customFormat="false" ht="24" hidden="false" customHeight="true" outlineLevel="0" collapsed="false"/>
    <row r="60" customFormat="false" ht="24" hidden="false" customHeight="true" outlineLevel="0" collapsed="false"/>
    <row r="61" customFormat="false" ht="24" hidden="false" customHeight="true" outlineLevel="0" collapsed="false"/>
    <row r="62" customFormat="false" ht="24" hidden="false" customHeight="true" outlineLevel="0" collapsed="false"/>
    <row r="63" customFormat="false" ht="24" hidden="false" customHeight="true" outlineLevel="0" collapsed="false"/>
    <row r="64" customFormat="false" ht="24" hidden="false" customHeight="true" outlineLevel="0" collapsed="false"/>
    <row r="65" customFormat="false" ht="24" hidden="false" customHeight="true" outlineLevel="0" collapsed="false"/>
    <row r="66" customFormat="false" ht="24" hidden="false" customHeight="true" outlineLevel="0" collapsed="false"/>
    <row r="67" customFormat="false" ht="24" hidden="false" customHeight="true" outlineLevel="0" collapsed="false"/>
    <row r="68" customFormat="false" ht="24" hidden="false" customHeight="true" outlineLevel="0" collapsed="false"/>
    <row r="69" customFormat="false" ht="24" hidden="false" customHeight="true" outlineLevel="0" collapsed="false"/>
    <row r="70" customFormat="false" ht="24" hidden="false" customHeight="true" outlineLevel="0" collapsed="false"/>
    <row r="71" customFormat="false" ht="24" hidden="false" customHeight="true" outlineLevel="0" collapsed="false"/>
    <row r="72" customFormat="false" ht="24" hidden="false" customHeight="true" outlineLevel="0" collapsed="false"/>
    <row r="73" customFormat="false" ht="24" hidden="false" customHeight="true" outlineLevel="0" collapsed="false"/>
    <row r="74" customFormat="false" ht="24" hidden="false" customHeight="true" outlineLevel="0" collapsed="false"/>
    <row r="1048370" customFormat="false" ht="12.8" hidden="false" customHeight="true" outlineLevel="0" collapsed="false"/>
    <row r="1048371" customFormat="false" ht="12.8" hidden="false" customHeight="true" outlineLevel="0" collapsed="false"/>
    <row r="1048372" customFormat="false" ht="12.8" hidden="false" customHeight="true" outlineLevel="0" collapsed="false"/>
    <row r="1048373" customFormat="false" ht="12.8" hidden="false" customHeight="true" outlineLevel="0" collapsed="false"/>
    <row r="1048374" customFormat="false" ht="12.8" hidden="false" customHeight="true" outlineLevel="0" collapsed="false"/>
    <row r="1048375" customFormat="false" ht="12.8" hidden="false" customHeight="true" outlineLevel="0" collapsed="false"/>
    <row r="1048376" customFormat="false" ht="12.8" hidden="false" customHeight="true" outlineLevel="0" collapsed="false"/>
    <row r="1048377" customFormat="false" ht="12.8" hidden="false" customHeight="true" outlineLevel="0" collapsed="false"/>
    <row r="1048378" customFormat="false" ht="12.8" hidden="false" customHeight="true" outlineLevel="0" collapsed="false"/>
    <row r="1048379" customFormat="false" ht="12.8" hidden="false" customHeight="true" outlineLevel="0" collapsed="false"/>
    <row r="1048380" customFormat="false" ht="12.8" hidden="false" customHeight="true" outlineLevel="0" collapsed="false"/>
    <row r="1048381" customFormat="false" ht="12.8" hidden="false" customHeight="true" outlineLevel="0" collapsed="false"/>
    <row r="1048382" customFormat="false" ht="12.8" hidden="false" customHeight="true" outlineLevel="0" collapsed="false"/>
    <row r="1048383" customFormat="false" ht="12.8" hidden="false" customHeight="true" outlineLevel="0" collapsed="false"/>
    <row r="1048384" customFormat="false" ht="12.8" hidden="false" customHeight="true" outlineLevel="0" collapsed="false"/>
    <row r="1048385" customFormat="false" ht="12.8" hidden="false" customHeight="true" outlineLevel="0" collapsed="false"/>
    <row r="1048386" customFormat="false" ht="12.8" hidden="false" customHeight="true" outlineLevel="0" collapsed="false"/>
    <row r="1048387" customFormat="false" ht="12.8" hidden="false" customHeight="true" outlineLevel="0" collapsed="false"/>
    <row r="1048388" customFormat="false" ht="12.8" hidden="false" customHeight="true" outlineLevel="0" collapsed="false"/>
    <row r="1048389" customFormat="false" ht="12.8" hidden="false" customHeight="true" outlineLevel="0" collapsed="false"/>
    <row r="1048390" customFormat="false" ht="12.8" hidden="false" customHeight="true" outlineLevel="0" collapsed="false"/>
    <row r="1048391" customFormat="false" ht="12.8" hidden="false" customHeight="true" outlineLevel="0" collapsed="false"/>
    <row r="1048392" customFormat="false" ht="12.8" hidden="false" customHeight="true" outlineLevel="0" collapsed="false"/>
    <row r="1048393" customFormat="false" ht="12.8" hidden="false" customHeight="true" outlineLevel="0" collapsed="false"/>
    <row r="1048394" customFormat="false" ht="12.8" hidden="false" customHeight="true" outlineLevel="0" collapsed="false"/>
    <row r="1048395" customFormat="false" ht="12.8" hidden="false" customHeight="true" outlineLevel="0" collapsed="false"/>
    <row r="1048396" customFormat="false" ht="12.8" hidden="false" customHeight="true" outlineLevel="0" collapsed="false"/>
    <row r="1048397" customFormat="false" ht="12.8" hidden="false" customHeight="true" outlineLevel="0" collapsed="false"/>
    <row r="1048398" customFormat="false" ht="12.8" hidden="false" customHeight="true" outlineLevel="0" collapsed="false"/>
    <row r="1048399" customFormat="false" ht="12.8" hidden="false" customHeight="true" outlineLevel="0" collapsed="false"/>
    <row r="1048400" customFormat="false" ht="12.8" hidden="false" customHeight="true" outlineLevel="0" collapsed="false"/>
    <row r="1048401" customFormat="false" ht="12.8" hidden="false" customHeight="true" outlineLevel="0" collapsed="false"/>
    <row r="1048402" customFormat="false" ht="12.8" hidden="false" customHeight="true" outlineLevel="0" collapsed="false"/>
    <row r="1048403" customFormat="false" ht="12.8" hidden="false" customHeight="true" outlineLevel="0" collapsed="false"/>
    <row r="1048404" customFormat="false" ht="12.8" hidden="false" customHeight="true" outlineLevel="0" collapsed="false"/>
    <row r="1048405" customFormat="false" ht="12.8" hidden="false" customHeight="true" outlineLevel="0" collapsed="false"/>
    <row r="1048406" customFormat="false" ht="12.8" hidden="false" customHeight="true" outlineLevel="0" collapsed="false"/>
    <row r="1048407" customFormat="false" ht="12.8" hidden="false" customHeight="true" outlineLevel="0" collapsed="false"/>
    <row r="1048408" customFormat="false" ht="12.8" hidden="false" customHeight="true" outlineLevel="0" collapsed="false"/>
    <row r="1048409" customFormat="false" ht="12.8" hidden="false" customHeight="true" outlineLevel="0" collapsed="false"/>
    <row r="1048410" customFormat="false" ht="12.8" hidden="false" customHeight="true" outlineLevel="0" collapsed="false"/>
    <row r="1048411" customFormat="false" ht="12.8" hidden="false" customHeight="true" outlineLevel="0" collapsed="false"/>
    <row r="1048412" customFormat="false" ht="12.8" hidden="false" customHeight="true" outlineLevel="0" collapsed="false"/>
    <row r="1048413" customFormat="false" ht="12.8" hidden="false" customHeight="true" outlineLevel="0" collapsed="false"/>
    <row r="1048414" customFormat="false" ht="12.8" hidden="false" customHeight="true" outlineLevel="0" collapsed="false"/>
    <row r="1048415" customFormat="false" ht="12.8" hidden="false" customHeight="true" outlineLevel="0" collapsed="false"/>
    <row r="1048416" customFormat="false" ht="12.8" hidden="false" customHeight="true" outlineLevel="0" collapsed="false"/>
    <row r="1048417" customFormat="false" ht="12.8" hidden="false" customHeight="true" outlineLevel="0" collapsed="false"/>
    <row r="1048418" customFormat="false" ht="12.8" hidden="false" customHeight="true" outlineLevel="0" collapsed="false"/>
    <row r="1048419" customFormat="false" ht="12.8" hidden="false" customHeight="true" outlineLevel="0" collapsed="false"/>
    <row r="1048420" customFormat="false" ht="12.8" hidden="false" customHeight="true" outlineLevel="0" collapsed="false"/>
    <row r="1048421" customFormat="false" ht="12.8" hidden="false" customHeight="true" outlineLevel="0" collapsed="false"/>
    <row r="1048422" customFormat="false" ht="12.8" hidden="false" customHeight="true" outlineLevel="0" collapsed="false"/>
    <row r="1048423" customFormat="false" ht="12.8" hidden="false" customHeight="true" outlineLevel="0" collapsed="false"/>
    <row r="1048424" customFormat="false" ht="12.8" hidden="false" customHeight="true" outlineLevel="0" collapsed="false"/>
    <row r="1048425" customFormat="false" ht="12.8" hidden="false" customHeight="true" outlineLevel="0" collapsed="false"/>
    <row r="1048426" customFormat="false" ht="12.8" hidden="false" customHeight="true" outlineLevel="0" collapsed="false"/>
    <row r="1048427" customFormat="false" ht="12.8" hidden="false" customHeight="true" outlineLevel="0" collapsed="false"/>
    <row r="1048428" customFormat="false" ht="12.8" hidden="false" customHeight="true" outlineLevel="0" collapsed="false"/>
    <row r="1048429" customFormat="false" ht="12.8" hidden="false" customHeight="true" outlineLevel="0" collapsed="false"/>
    <row r="1048430" customFormat="false" ht="12.8" hidden="false" customHeight="true" outlineLevel="0" collapsed="false"/>
    <row r="1048431" customFormat="false" ht="12.8" hidden="false" customHeight="true" outlineLevel="0" collapsed="false"/>
    <row r="1048432" customFormat="false" ht="12.8" hidden="false" customHeight="true" outlineLevel="0" collapsed="false"/>
    <row r="1048433" customFormat="false" ht="12.8" hidden="false" customHeight="true" outlineLevel="0" collapsed="false"/>
    <row r="1048434" customFormat="false" ht="12.8" hidden="false" customHeight="true" outlineLevel="0" collapsed="false"/>
    <row r="1048435" customFormat="false" ht="12.8" hidden="false" customHeight="true" outlineLevel="0" collapsed="false"/>
    <row r="1048436" customFormat="false" ht="12.8" hidden="false" customHeight="true" outlineLevel="0" collapsed="false"/>
    <row r="1048437" customFormat="false" ht="12.8" hidden="false" customHeight="true" outlineLevel="0" collapsed="false"/>
    <row r="1048438" customFormat="false" ht="12.8" hidden="false" customHeight="true" outlineLevel="0" collapsed="false"/>
    <row r="1048439" customFormat="false" ht="12.8" hidden="false" customHeight="true" outlineLevel="0" collapsed="false"/>
    <row r="1048440" customFormat="false" ht="12.8" hidden="false" customHeight="true" outlineLevel="0" collapsed="false"/>
    <row r="1048441" customFormat="false" ht="12.8" hidden="false" customHeight="true" outlineLevel="0" collapsed="false"/>
    <row r="1048442" customFormat="false" ht="12.8" hidden="false" customHeight="true" outlineLevel="0" collapsed="false"/>
    <row r="1048443" customFormat="false" ht="12.8" hidden="false" customHeight="true" outlineLevel="0" collapsed="false"/>
    <row r="1048444" customFormat="false" ht="12.8" hidden="false" customHeight="true" outlineLevel="0" collapsed="false"/>
    <row r="1048445" customFormat="false" ht="12.8" hidden="false" customHeight="true" outlineLevel="0" collapsed="false"/>
    <row r="1048446" customFormat="false" ht="12.8" hidden="false" customHeight="true" outlineLevel="0" collapsed="false"/>
    <row r="1048447" customFormat="false" ht="12.8" hidden="false" customHeight="true" outlineLevel="0" collapsed="false"/>
    <row r="1048448" customFormat="false" ht="12.8" hidden="false" customHeight="true" outlineLevel="0" collapsed="false"/>
    <row r="1048449" customFormat="false" ht="12.8" hidden="false" customHeight="true" outlineLevel="0" collapsed="false"/>
    <row r="1048450" customFormat="false" ht="12.8" hidden="false" customHeight="true" outlineLevel="0" collapsed="false"/>
    <row r="1048451" customFormat="false" ht="12.8" hidden="false" customHeight="true" outlineLevel="0" collapsed="false"/>
    <row r="1048452" customFormat="false" ht="12.8" hidden="false" customHeight="true" outlineLevel="0" collapsed="false"/>
    <row r="1048453" customFormat="false" ht="12.8" hidden="false" customHeight="true" outlineLevel="0" collapsed="false"/>
    <row r="1048454" customFormat="false" ht="12.8" hidden="false" customHeight="true" outlineLevel="0" collapsed="false"/>
    <row r="1048455" customFormat="false" ht="12.8" hidden="false" customHeight="true" outlineLevel="0" collapsed="false"/>
    <row r="1048456" customFormat="false" ht="12.8" hidden="false" customHeight="true" outlineLevel="0" collapsed="false"/>
    <row r="1048457" customFormat="false" ht="12.8" hidden="false" customHeight="true" outlineLevel="0" collapsed="false"/>
    <row r="1048458" customFormat="false" ht="12.8" hidden="false" customHeight="true" outlineLevel="0" collapsed="false"/>
    <row r="1048459" customFormat="false" ht="12.8" hidden="false" customHeight="true" outlineLevel="0" collapsed="false"/>
    <row r="1048460" customFormat="false" ht="12.8" hidden="false" customHeight="true" outlineLevel="0" collapsed="false"/>
    <row r="1048461" customFormat="false" ht="12.8" hidden="false" customHeight="true" outlineLevel="0" collapsed="false"/>
    <row r="1048462" customFormat="false" ht="12.8" hidden="false" customHeight="true" outlineLevel="0" collapsed="false"/>
    <row r="1048463" customFormat="false" ht="12.8" hidden="false" customHeight="true" outlineLevel="0" collapsed="false"/>
    <row r="1048464" customFormat="false" ht="12.8" hidden="false" customHeight="true" outlineLevel="0" collapsed="false"/>
    <row r="1048465" customFormat="false" ht="12.8" hidden="false" customHeight="true" outlineLevel="0" collapsed="false"/>
    <row r="1048466" customFormat="false" ht="12.8" hidden="false" customHeight="true" outlineLevel="0" collapsed="false"/>
    <row r="1048467" customFormat="false" ht="12.8" hidden="false" customHeight="true" outlineLevel="0" collapsed="false"/>
    <row r="1048468" customFormat="false" ht="12.8" hidden="false" customHeight="true" outlineLevel="0" collapsed="false"/>
    <row r="1048469" customFormat="false" ht="12.8" hidden="false" customHeight="true" outlineLevel="0" collapsed="false"/>
    <row r="1048470" customFormat="false" ht="12.8" hidden="false" customHeight="true" outlineLevel="0" collapsed="false"/>
    <row r="1048471" customFormat="false" ht="12.8" hidden="false" customHeight="true" outlineLevel="0" collapsed="false"/>
    <row r="1048472" customFormat="false" ht="12.8" hidden="false" customHeight="true" outlineLevel="0" collapsed="false"/>
    <row r="1048473" customFormat="false" ht="12.8" hidden="false" customHeight="true" outlineLevel="0" collapsed="false"/>
    <row r="1048474" customFormat="false" ht="12.8" hidden="false" customHeight="true" outlineLevel="0" collapsed="false"/>
    <row r="1048475" customFormat="false" ht="12.8" hidden="false" customHeight="true" outlineLevel="0" collapsed="false"/>
    <row r="1048476" customFormat="false" ht="12.8" hidden="false" customHeight="true" outlineLevel="0" collapsed="false"/>
    <row r="1048477" customFormat="false" ht="12.8" hidden="false" customHeight="true" outlineLevel="0" collapsed="false"/>
    <row r="1048478" customFormat="false" ht="12.8" hidden="false" customHeight="true" outlineLevel="0" collapsed="false"/>
    <row r="1048479" customFormat="false" ht="12.8" hidden="false" customHeight="true" outlineLevel="0" collapsed="false"/>
    <row r="1048480" customFormat="false" ht="12.8" hidden="false" customHeight="true" outlineLevel="0" collapsed="false"/>
    <row r="1048481" customFormat="false" ht="12.8" hidden="false" customHeight="true" outlineLevel="0" collapsed="false"/>
    <row r="1048482" customFormat="false" ht="12.8" hidden="false" customHeight="true" outlineLevel="0" collapsed="false"/>
    <row r="1048483" customFormat="false" ht="12.8" hidden="false" customHeight="true" outlineLevel="0" collapsed="false"/>
    <row r="1048484" customFormat="false" ht="12.8" hidden="false" customHeight="true" outlineLevel="0" collapsed="false"/>
    <row r="1048485" customFormat="false" ht="12.8" hidden="false" customHeight="true" outlineLevel="0" collapsed="false"/>
    <row r="1048486" customFormat="false" ht="12.8" hidden="false" customHeight="true" outlineLevel="0" collapsed="false"/>
    <row r="1048487" customFormat="false" ht="12.8" hidden="false" customHeight="true" outlineLevel="0" collapsed="false"/>
    <row r="1048488" customFormat="false" ht="12.8" hidden="false" customHeight="true" outlineLevel="0" collapsed="false"/>
    <row r="1048489" customFormat="false" ht="12.8" hidden="false" customHeight="true" outlineLevel="0" collapsed="false"/>
    <row r="1048490" customFormat="false" ht="12.8" hidden="false" customHeight="true" outlineLevel="0" collapsed="false"/>
    <row r="1048491" customFormat="false" ht="12.8" hidden="false" customHeight="true" outlineLevel="0" collapsed="false"/>
    <row r="1048492" customFormat="false" ht="12.8" hidden="false" customHeight="true" outlineLevel="0" collapsed="false"/>
    <row r="1048493" customFormat="false" ht="12.8" hidden="false" customHeight="true" outlineLevel="0" collapsed="false"/>
    <row r="1048494" customFormat="false" ht="12.8" hidden="false" customHeight="true" outlineLevel="0" collapsed="false"/>
    <row r="1048495" customFormat="false" ht="12.8" hidden="false" customHeight="true" outlineLevel="0" collapsed="false"/>
    <row r="1048496" customFormat="false" ht="12.8" hidden="false" customHeight="true" outlineLevel="0" collapsed="false"/>
    <row r="1048497" customFormat="false" ht="12.8" hidden="false" customHeight="true" outlineLevel="0" collapsed="false"/>
    <row r="1048498" customFormat="false" ht="12.8" hidden="false" customHeight="true" outlineLevel="0" collapsed="false"/>
    <row r="1048499" customFormat="false" ht="12.8" hidden="false" customHeight="true" outlineLevel="0" collapsed="false"/>
    <row r="1048500" customFormat="false" ht="12.8" hidden="false" customHeight="true" outlineLevel="0" collapsed="false"/>
    <row r="1048501" customFormat="false" ht="12.8" hidden="false" customHeight="true" outlineLevel="0" collapsed="false"/>
    <row r="1048502" customFormat="false" ht="12.8" hidden="false" customHeight="true" outlineLevel="0" collapsed="false"/>
    <row r="1048503" customFormat="false" ht="12.8" hidden="false" customHeight="true" outlineLevel="0" collapsed="false"/>
    <row r="1048504" customFormat="false" ht="12.8" hidden="false" customHeight="true" outlineLevel="0" collapsed="false"/>
    <row r="1048505" customFormat="false" ht="12.8" hidden="false" customHeight="true" outlineLevel="0" collapsed="false"/>
    <row r="1048506" customFormat="false" ht="12.8" hidden="false" customHeight="true" outlineLevel="0" collapsed="false"/>
    <row r="1048507" customFormat="false" ht="12.8" hidden="false" customHeight="true" outlineLevel="0" collapsed="false"/>
    <row r="1048508" customFormat="false" ht="12.8" hidden="false" customHeight="true" outlineLevel="0" collapsed="false"/>
    <row r="1048509" customFormat="false" ht="12.8" hidden="false" customHeight="true" outlineLevel="0" collapsed="false"/>
    <row r="1048510" customFormat="false" ht="12.8" hidden="false" customHeight="true" outlineLevel="0" collapsed="false"/>
    <row r="1048511" customFormat="false" ht="12.8" hidden="false" customHeight="true" outlineLevel="0" collapsed="false"/>
    <row r="1048512" customFormat="false" ht="12.8" hidden="false" customHeight="true" outlineLevel="0" collapsed="false"/>
    <row r="1048513" customFormat="false" ht="12.8" hidden="false" customHeight="true" outlineLevel="0" collapsed="false"/>
    <row r="1048514" customFormat="false" ht="12.8" hidden="false" customHeight="true" outlineLevel="0" collapsed="false"/>
    <row r="1048515" customFormat="false" ht="12.8" hidden="false" customHeight="true" outlineLevel="0" collapsed="false"/>
    <row r="1048516" customFormat="false" ht="12.8" hidden="false" customHeight="true" outlineLevel="0" collapsed="false"/>
    <row r="1048517" customFormat="false" ht="12.8" hidden="false" customHeight="true" outlineLevel="0" collapsed="false"/>
    <row r="1048518" customFormat="false" ht="12.8" hidden="false" customHeight="true" outlineLevel="0" collapsed="false"/>
    <row r="1048519" customFormat="false" ht="12.8" hidden="false" customHeight="true" outlineLevel="0" collapsed="false"/>
    <row r="1048520" customFormat="false" ht="12.8" hidden="false" customHeight="true" outlineLevel="0" collapsed="false"/>
    <row r="1048521" customFormat="false" ht="12.8" hidden="false" customHeight="true" outlineLevel="0" collapsed="false"/>
    <row r="1048522" customFormat="false" ht="12.8" hidden="false" customHeight="true" outlineLevel="0" collapsed="false"/>
    <row r="1048523" customFormat="false" ht="12.8" hidden="false" customHeight="true" outlineLevel="0" collapsed="false"/>
    <row r="1048524" customFormat="false" ht="12.8" hidden="false" customHeight="true" outlineLevel="0" collapsed="false"/>
    <row r="1048525" customFormat="false" ht="12.8" hidden="false" customHeight="true" outlineLevel="0" collapsed="false"/>
    <row r="1048526" customFormat="false" ht="12.8" hidden="false" customHeight="true" outlineLevel="0" collapsed="false"/>
    <row r="1048527" customFormat="false" ht="12.8" hidden="false" customHeight="true" outlineLevel="0" collapsed="false"/>
    <row r="1048528" customFormat="false" ht="12.8" hidden="false" customHeight="true" outlineLevel="0" collapsed="false"/>
    <row r="1048529" customFormat="false" ht="12.8" hidden="false" customHeight="true" outlineLevel="0" collapsed="false"/>
    <row r="1048530" customFormat="false" ht="12.8" hidden="false" customHeight="true" outlineLevel="0" collapsed="false"/>
    <row r="1048531" customFormat="false" ht="12.8" hidden="false" customHeight="true" outlineLevel="0" collapsed="false"/>
    <row r="1048532" customFormat="false" ht="12.8" hidden="false" customHeight="true" outlineLevel="0" collapsed="false"/>
    <row r="1048533" customFormat="false" ht="12.8" hidden="false" customHeight="true" outlineLevel="0" collapsed="false"/>
    <row r="1048534" customFormat="false" ht="12.8" hidden="false" customHeight="true" outlineLevel="0" collapsed="false"/>
    <row r="1048535" customFormat="false" ht="12.8" hidden="false" customHeight="true" outlineLevel="0" collapsed="false"/>
    <row r="1048536" customFormat="false" ht="12.8" hidden="false" customHeight="true" outlineLevel="0" collapsed="false"/>
    <row r="1048537" customFormat="false" ht="12.8" hidden="false" customHeight="true" outlineLevel="0" collapsed="false"/>
    <row r="1048538" customFormat="false" ht="12.8" hidden="false" customHeight="true" outlineLevel="0" collapsed="false"/>
    <row r="1048539" customFormat="false" ht="12.8" hidden="false" customHeight="true" outlineLevel="0" collapsed="false"/>
    <row r="1048540" customFormat="false" ht="12.8" hidden="false" customHeight="true" outlineLevel="0" collapsed="false"/>
    <row r="1048541" customFormat="false" ht="12.8" hidden="false" customHeight="true" outlineLevel="0" collapsed="false"/>
    <row r="1048542" customFormat="false" ht="12.8" hidden="false" customHeight="true" outlineLevel="0" collapsed="false"/>
    <row r="1048543" customFormat="false" ht="12.8" hidden="false" customHeight="true" outlineLevel="0" collapsed="false"/>
    <row r="1048544" customFormat="false" ht="12.8" hidden="false" customHeight="true" outlineLevel="0" collapsed="false"/>
    <row r="1048545" customFormat="false" ht="12.8" hidden="false" customHeight="true" outlineLevel="0" collapsed="false"/>
    <row r="1048546" customFormat="false" ht="12.8" hidden="false" customHeight="true" outlineLevel="0" collapsed="false"/>
    <row r="1048547" customFormat="false" ht="12.8" hidden="false" customHeight="true" outlineLevel="0" collapsed="false"/>
    <row r="1048548" customFormat="false" ht="12.8" hidden="false" customHeight="true" outlineLevel="0" collapsed="false"/>
    <row r="1048549" customFormat="false" ht="12.8" hidden="false" customHeight="true" outlineLevel="0" collapsed="false"/>
    <row r="1048550" customFormat="false" ht="12.8" hidden="false" customHeight="true" outlineLevel="0" collapsed="false"/>
    <row r="1048551" customFormat="false" ht="12.8" hidden="false" customHeight="true" outlineLevel="0" collapsed="false"/>
    <row r="1048552" customFormat="false" ht="12.8" hidden="false" customHeight="true" outlineLevel="0" collapsed="false"/>
    <row r="1048553" customFormat="false" ht="12.8" hidden="false" customHeight="true" outlineLevel="0" collapsed="false"/>
    <row r="1048554" customFormat="false" ht="12.8" hidden="false" customHeight="true" outlineLevel="0" collapsed="false"/>
    <row r="1048555" customFormat="false" ht="12.8" hidden="false" customHeight="true" outlineLevel="0" collapsed="false"/>
    <row r="1048556" customFormat="false" ht="12.8" hidden="false" customHeight="true" outlineLevel="0" collapsed="false"/>
    <row r="1048557" customFormat="false" ht="12.8" hidden="false" customHeight="true" outlineLevel="0" collapsed="false"/>
    <row r="1048558" customFormat="false" ht="12.8" hidden="false" customHeight="true" outlineLevel="0" collapsed="false"/>
    <row r="1048559" customFormat="false" ht="12.8" hidden="false" customHeight="true" outlineLevel="0" collapsed="false"/>
    <row r="1048560" customFormat="false" ht="12.8" hidden="false" customHeight="true" outlineLevel="0" collapsed="false"/>
    <row r="1048561" customFormat="false" ht="12.8" hidden="false" customHeight="true" outlineLevel="0" collapsed="false"/>
    <row r="1048562" customFormat="false" ht="12.8" hidden="false" customHeight="true" outlineLevel="0" collapsed="false"/>
    <row r="1048563" customFormat="false" ht="12.8" hidden="false" customHeight="true" outlineLevel="0" collapsed="false"/>
    <row r="1048564" customFormat="false" ht="12.8" hidden="false" customHeight="true" outlineLevel="0" collapsed="false"/>
    <row r="1048565" customFormat="false" ht="12.8" hidden="false" customHeight="true" outlineLevel="0" collapsed="false"/>
    <row r="1048566" customFormat="false" ht="12.8" hidden="false" customHeight="true" outlineLevel="0" collapsed="false"/>
    <row r="1048567" customFormat="false" ht="12.8" hidden="false" customHeight="true" outlineLevel="0" collapsed="false"/>
    <row r="1048568" customFormat="false" ht="12.8" hidden="false" customHeight="true" outlineLevel="0" collapsed="false"/>
    <row r="1048569" customFormat="false" ht="12.8" hidden="false" customHeight="true" outlineLevel="0" collapsed="false"/>
    <row r="1048570" customFormat="false" ht="12.8" hidden="false" customHeight="true" outlineLevel="0" collapsed="false"/>
    <row r="1048571" customFormat="false" ht="12.8" hidden="false" customHeight="true" outlineLevel="0" collapsed="false"/>
    <row r="1048572" customFormat="false" ht="12.8" hidden="false" customHeight="true" outlineLevel="0" collapsed="false"/>
    <row r="1048573" customFormat="false" ht="12.8" hidden="false" customHeight="true" outlineLevel="0" collapsed="false"/>
    <row r="1048574" customFormat="false" ht="12.8" hidden="false" customHeight="true" outlineLevel="0" collapsed="false"/>
    <row r="1048575" customFormat="false" ht="12.8" hidden="false" customHeight="true" outlineLevel="0" collapsed="false"/>
    <row r="1048576" customFormat="false" ht="12.8" hidden="false" customHeight="true" outlineLevel="0" collapsed="false"/>
  </sheetData>
  <autoFilter ref="B11:AD49">
    <sortState ref="B12:AD49">
      <sortCondition ref="B12:B49" customList=""/>
    </sortState>
  </autoFilter>
  <mergeCells count="15">
    <mergeCell ref="G1:J1"/>
    <mergeCell ref="P1:T1"/>
    <mergeCell ref="U1:V1"/>
    <mergeCell ref="G2:J2"/>
    <mergeCell ref="K2:L2"/>
    <mergeCell ref="P2:T2"/>
    <mergeCell ref="U2:V2"/>
    <mergeCell ref="G3:J3"/>
    <mergeCell ref="K3:L3"/>
    <mergeCell ref="P3:T3"/>
    <mergeCell ref="U3:V3"/>
    <mergeCell ref="B5:R5"/>
    <mergeCell ref="T5:U5"/>
    <mergeCell ref="V5:W5"/>
    <mergeCell ref="G10:Q10"/>
  </mergeCells>
  <printOptions headings="false" gridLines="false" gridLinesSet="true" horizontalCentered="false" verticalCentered="false"/>
  <pageMargins left="0.2" right="0.2" top="0" bottom="0.5" header="0.511811023622047" footer="0.3"/>
  <pageSetup paperSize="3" scale="100" fitToWidth="1" fitToHeight="0" pageOrder="downThenOver" orientation="landscape" blackAndWhite="false" draft="false" cellComments="none" horizontalDpi="300" verticalDpi="300" copies="1"/>
  <headerFooter differentFirst="false" differentOddEven="false">
    <oddHeader/>
    <oddFooter>&amp;LMJ Takisaki Sub. Reg. &amp;CPage &amp;P of &amp;N&amp;R&amp;D</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N5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L8" activeCellId="0" sqref="L8"/>
    </sheetView>
  </sheetViews>
  <sheetFormatPr defaultColWidth="8.56640625" defaultRowHeight="15" zeroHeight="false" outlineLevelRow="0" outlineLevelCol="0"/>
  <cols>
    <col collapsed="false" customWidth="true" hidden="false" outlineLevel="0" max="1" min="1" style="91" width="0.89"/>
    <col collapsed="false" customWidth="true" hidden="false" outlineLevel="0" max="2" min="2" style="91" width="3.22"/>
    <col collapsed="false" customWidth="true" hidden="false" outlineLevel="0" max="3" min="3" style="91" width="23.77"/>
    <col collapsed="false" customWidth="true" hidden="false" outlineLevel="0" max="4" min="4" style="91" width="19.56"/>
    <col collapsed="false" customWidth="true" hidden="false" outlineLevel="0" max="5" min="5" style="91" width="12.56"/>
    <col collapsed="false" customWidth="true" hidden="false" outlineLevel="0" max="6" min="6" style="91" width="5.22"/>
    <col collapsed="false" customWidth="true" hidden="false" outlineLevel="0" max="7" min="7" style="91" width="3.33"/>
    <col collapsed="false" customWidth="true" hidden="false" outlineLevel="0" max="8" min="8" style="91" width="3"/>
    <col collapsed="false" customWidth="true" hidden="false" outlineLevel="0" max="9" min="9" style="91" width="4.66"/>
    <col collapsed="false" customWidth="true" hidden="false" outlineLevel="0" max="10" min="10" style="91" width="8"/>
    <col collapsed="false" customWidth="true" hidden="false" outlineLevel="0" max="11" min="11" style="91" width="3.44"/>
    <col collapsed="false" customWidth="true" hidden="false" outlineLevel="0" max="12" min="12" style="91" width="25.44"/>
    <col collapsed="false" customWidth="true" hidden="false" outlineLevel="0" max="18" min="13" style="91" width="8.89"/>
  </cols>
  <sheetData>
    <row r="2" customFormat="false" ht="40.5" hidden="false" customHeight="true" outlineLevel="0" collapsed="false">
      <c r="B2" s="92" t="s">
        <v>132</v>
      </c>
      <c r="C2" s="92"/>
      <c r="D2" s="92"/>
      <c r="E2" s="92"/>
      <c r="F2" s="92"/>
      <c r="G2" s="92"/>
      <c r="H2" s="93" t="s">
        <v>133</v>
      </c>
      <c r="I2" s="93"/>
      <c r="J2" s="93"/>
    </row>
    <row r="3" customFormat="false" ht="36" hidden="false" customHeight="true" outlineLevel="0" collapsed="false">
      <c r="B3" s="94" t="s">
        <v>134</v>
      </c>
      <c r="C3" s="94"/>
      <c r="D3" s="94"/>
      <c r="E3" s="94"/>
      <c r="F3" s="94"/>
      <c r="G3" s="94"/>
      <c r="H3" s="94"/>
      <c r="I3" s="94"/>
      <c r="J3" s="94"/>
    </row>
    <row r="4" customFormat="false" ht="18" hidden="false" customHeight="true" outlineLevel="0" collapsed="false">
      <c r="B4" s="95" t="s">
        <v>135</v>
      </c>
      <c r="C4" s="95"/>
      <c r="D4" s="95" t="s">
        <v>136</v>
      </c>
      <c r="E4" s="95"/>
      <c r="F4" s="95"/>
      <c r="G4" s="96" t="s">
        <v>137</v>
      </c>
      <c r="H4" s="96"/>
      <c r="I4" s="96"/>
      <c r="J4" s="96"/>
      <c r="L4" s="97"/>
    </row>
    <row r="5" customFormat="false" ht="24.75" hidden="false" customHeight="true" outlineLevel="0" collapsed="false">
      <c r="B5" s="98" t="s">
        <v>138</v>
      </c>
      <c r="C5" s="98"/>
      <c r="D5" s="99" t="s">
        <v>139</v>
      </c>
      <c r="E5" s="100"/>
      <c r="F5" s="101"/>
      <c r="G5" s="102" t="n">
        <f aca="true">NOW()</f>
        <v>45803.5206494733</v>
      </c>
      <c r="H5" s="102"/>
      <c r="I5" s="102"/>
      <c r="J5" s="102"/>
      <c r="L5" s="97"/>
    </row>
    <row r="6" customFormat="false" ht="15" hidden="false" customHeight="true" outlineLevel="0" collapsed="false">
      <c r="B6" s="103" t="s">
        <v>140</v>
      </c>
      <c r="C6" s="103"/>
      <c r="D6" s="104" t="s">
        <v>141</v>
      </c>
      <c r="E6" s="104"/>
      <c r="F6" s="104"/>
      <c r="G6" s="105" t="s">
        <v>142</v>
      </c>
      <c r="H6" s="105"/>
      <c r="I6" s="105"/>
      <c r="J6" s="105"/>
    </row>
    <row r="7" customFormat="false" ht="15" hidden="false" customHeight="false" outlineLevel="0" collapsed="false">
      <c r="B7" s="106" t="n">
        <v>1135421</v>
      </c>
      <c r="C7" s="106"/>
      <c r="D7" s="107" t="n">
        <v>2</v>
      </c>
      <c r="E7" s="108"/>
      <c r="F7" s="109"/>
      <c r="G7" s="110" t="b">
        <f aca="false">TRUE()</f>
        <v>1</v>
      </c>
      <c r="H7" s="111" t="s">
        <v>143</v>
      </c>
      <c r="I7" s="112" t="b">
        <f aca="false">FALSE()</f>
        <v>0</v>
      </c>
      <c r="J7" s="113" t="s">
        <v>144</v>
      </c>
      <c r="L7" s="114"/>
    </row>
    <row r="8" customFormat="false" ht="22.5" hidden="false" customHeight="true" outlineLevel="0" collapsed="false">
      <c r="B8" s="115" t="s">
        <v>145</v>
      </c>
      <c r="C8" s="115"/>
      <c r="D8" s="116" t="s">
        <v>146</v>
      </c>
      <c r="E8" s="116"/>
      <c r="F8" s="116"/>
      <c r="G8" s="116"/>
      <c r="H8" s="116"/>
      <c r="I8" s="116"/>
      <c r="J8" s="116"/>
    </row>
    <row r="9" customFormat="false" ht="15" hidden="false" customHeight="false" outlineLevel="0" collapsed="false">
      <c r="B9" s="117" t="s">
        <v>147</v>
      </c>
      <c r="C9" s="117"/>
      <c r="D9" s="117"/>
      <c r="E9" s="117"/>
      <c r="F9" s="118" t="s">
        <v>148</v>
      </c>
      <c r="G9" s="118"/>
      <c r="H9" s="118"/>
      <c r="I9" s="118"/>
      <c r="J9" s="118"/>
    </row>
    <row r="10" customFormat="false" ht="23.25" hidden="false" customHeight="true" outlineLevel="0" collapsed="false">
      <c r="B10" s="119" t="s">
        <v>149</v>
      </c>
      <c r="C10" s="119" t="s">
        <v>150</v>
      </c>
      <c r="D10" s="119" t="s">
        <v>151</v>
      </c>
      <c r="E10" s="119"/>
      <c r="F10" s="120" t="s">
        <v>152</v>
      </c>
      <c r="G10" s="121" t="s">
        <v>153</v>
      </c>
      <c r="H10" s="121"/>
      <c r="I10" s="120" t="s">
        <v>154</v>
      </c>
      <c r="J10" s="120" t="s">
        <v>155</v>
      </c>
    </row>
    <row r="11" customFormat="false" ht="23.25" hidden="false" customHeight="true" outlineLevel="0" collapsed="false">
      <c r="B11" s="122" t="n">
        <v>2</v>
      </c>
      <c r="C11" s="123" t="s">
        <v>62</v>
      </c>
      <c r="D11" s="122" t="s">
        <v>63</v>
      </c>
      <c r="E11" s="122"/>
      <c r="F11" s="124"/>
      <c r="G11" s="125"/>
      <c r="H11" s="125"/>
      <c r="I11" s="126"/>
      <c r="J11" s="126"/>
      <c r="N11" s="127"/>
    </row>
    <row r="12" customFormat="false" ht="27" hidden="false" customHeight="true" outlineLevel="0" collapsed="false">
      <c r="B12" s="128"/>
      <c r="C12" s="129"/>
      <c r="D12" s="130"/>
      <c r="E12" s="131"/>
      <c r="F12" s="124"/>
      <c r="G12" s="125"/>
      <c r="H12" s="125"/>
      <c r="I12" s="126"/>
      <c r="J12" s="126"/>
    </row>
    <row r="13" customFormat="false" ht="23.25" hidden="false" customHeight="true" outlineLevel="0" collapsed="false">
      <c r="B13" s="128"/>
      <c r="C13" s="129"/>
      <c r="D13" s="130"/>
      <c r="E13" s="131"/>
      <c r="F13" s="124"/>
      <c r="G13" s="125"/>
      <c r="H13" s="125"/>
      <c r="I13" s="126"/>
      <c r="J13" s="126"/>
      <c r="N13" s="127"/>
    </row>
    <row r="14" customFormat="false" ht="23.25" hidden="false" customHeight="true" outlineLevel="0" collapsed="false">
      <c r="B14" s="128"/>
      <c r="C14" s="132"/>
      <c r="D14" s="133"/>
      <c r="E14" s="134"/>
      <c r="F14" s="124"/>
      <c r="G14" s="125"/>
      <c r="H14" s="125"/>
      <c r="I14" s="126"/>
      <c r="J14" s="126"/>
      <c r="N14" s="127"/>
    </row>
    <row r="15" customFormat="false" ht="23.25" hidden="false" customHeight="true" outlineLevel="0" collapsed="false">
      <c r="B15" s="135"/>
      <c r="C15" s="136"/>
      <c r="D15" s="137"/>
      <c r="E15" s="138"/>
      <c r="F15" s="49"/>
      <c r="G15" s="139"/>
      <c r="H15" s="139"/>
      <c r="I15" s="135"/>
      <c r="J15" s="135"/>
      <c r="N15" s="127"/>
    </row>
    <row r="16" customFormat="false" ht="23.25" hidden="false" customHeight="true" outlineLevel="0" collapsed="false">
      <c r="B16" s="135"/>
      <c r="C16" s="136"/>
      <c r="D16" s="140"/>
      <c r="E16" s="141"/>
      <c r="F16" s="49"/>
      <c r="G16" s="139"/>
      <c r="H16" s="139"/>
      <c r="I16" s="135"/>
      <c r="J16" s="135"/>
      <c r="N16" s="127"/>
    </row>
    <row r="17" customFormat="false" ht="23.25" hidden="false" customHeight="true" outlineLevel="0" collapsed="false">
      <c r="B17" s="135"/>
      <c r="C17" s="142"/>
      <c r="D17" s="140"/>
      <c r="E17" s="141"/>
      <c r="F17" s="49"/>
      <c r="G17" s="139"/>
      <c r="H17" s="139"/>
      <c r="I17" s="135"/>
      <c r="J17" s="135"/>
      <c r="N17" s="127"/>
    </row>
    <row r="18" customFormat="false" ht="23.25" hidden="false" customHeight="true" outlineLevel="0" collapsed="false">
      <c r="B18" s="143"/>
      <c r="C18" s="144"/>
      <c r="D18" s="145" t="s">
        <v>156</v>
      </c>
      <c r="E18" s="146" t="n">
        <v>2</v>
      </c>
      <c r="F18" s="49"/>
      <c r="G18" s="139"/>
      <c r="H18" s="139"/>
      <c r="I18" s="135"/>
      <c r="J18" s="135"/>
      <c r="N18" s="127"/>
    </row>
    <row r="19" customFormat="false" ht="23.25" hidden="false" customHeight="true" outlineLevel="0" collapsed="false">
      <c r="B19" s="135"/>
      <c r="C19" s="147"/>
      <c r="D19" s="148" t="s">
        <v>157</v>
      </c>
      <c r="E19" s="149"/>
      <c r="F19" s="49"/>
      <c r="G19" s="139"/>
      <c r="H19" s="139"/>
      <c r="I19" s="135"/>
      <c r="J19" s="135"/>
      <c r="N19" s="127"/>
    </row>
    <row r="20" customFormat="false" ht="23.25" hidden="false" customHeight="true" outlineLevel="0" collapsed="false">
      <c r="B20" s="135"/>
      <c r="C20" s="136"/>
      <c r="D20" s="148" t="s">
        <v>158</v>
      </c>
      <c r="E20" s="150" t="n">
        <f aca="true">NOW()</f>
        <v>45803.5206494732</v>
      </c>
      <c r="F20" s="49"/>
      <c r="G20" s="139"/>
      <c r="H20" s="139"/>
      <c r="I20" s="135"/>
      <c r="J20" s="135"/>
      <c r="N20" s="127"/>
    </row>
    <row r="21" customFormat="false" ht="23.25" hidden="false" customHeight="true" outlineLevel="0" collapsed="false">
      <c r="B21" s="135"/>
      <c r="C21" s="136"/>
      <c r="D21" s="148" t="s">
        <v>159</v>
      </c>
      <c r="E21" s="151" t="s">
        <v>160</v>
      </c>
      <c r="F21" s="49"/>
      <c r="G21" s="139"/>
      <c r="H21" s="139"/>
      <c r="I21" s="135"/>
      <c r="J21" s="135"/>
      <c r="N21" s="127"/>
    </row>
    <row r="22" customFormat="false" ht="15" hidden="false" customHeight="true" outlineLevel="0" collapsed="false">
      <c r="B22" s="135"/>
      <c r="C22" s="136"/>
      <c r="D22" s="152"/>
      <c r="E22" s="153"/>
      <c r="F22" s="49"/>
      <c r="G22" s="139"/>
      <c r="H22" s="139"/>
      <c r="I22" s="135"/>
      <c r="J22" s="135"/>
      <c r="N22" s="127"/>
    </row>
    <row r="23" customFormat="false" ht="26.25" hidden="false" customHeight="true" outlineLevel="0" collapsed="false">
      <c r="B23" s="154" t="s">
        <v>161</v>
      </c>
      <c r="C23" s="154"/>
      <c r="D23" s="154"/>
      <c r="E23" s="154"/>
      <c r="F23" s="154"/>
      <c r="G23" s="154"/>
      <c r="H23" s="154"/>
      <c r="I23" s="154"/>
      <c r="J23" s="154"/>
    </row>
    <row r="24" customFormat="false" ht="17.25" hidden="false" customHeight="true" outlineLevel="0" collapsed="false">
      <c r="B24" s="155" t="s">
        <v>162</v>
      </c>
      <c r="C24" s="155"/>
      <c r="D24" s="155" t="s">
        <v>163</v>
      </c>
      <c r="E24" s="155"/>
      <c r="F24" s="155" t="s">
        <v>164</v>
      </c>
      <c r="G24" s="155"/>
      <c r="H24" s="155"/>
      <c r="I24" s="155"/>
      <c r="J24" s="155"/>
    </row>
    <row r="25" customFormat="false" ht="15.75" hidden="false" customHeight="true" outlineLevel="0" collapsed="false">
      <c r="B25" s="156" t="n">
        <f aca="true">NOW()</f>
        <v>45803.5206494728</v>
      </c>
      <c r="C25" s="156"/>
      <c r="D25" s="157" t="s">
        <v>165</v>
      </c>
      <c r="E25" s="157"/>
      <c r="F25" s="158" t="s">
        <v>166</v>
      </c>
      <c r="G25" s="158"/>
      <c r="H25" s="158"/>
      <c r="I25" s="158"/>
      <c r="J25" s="158"/>
    </row>
    <row r="26" customFormat="false" ht="15" hidden="false" customHeight="false" outlineLevel="0" collapsed="false">
      <c r="B26" s="159" t="s">
        <v>148</v>
      </c>
      <c r="C26" s="159"/>
      <c r="D26" s="159"/>
      <c r="E26" s="159"/>
      <c r="F26" s="159"/>
      <c r="G26" s="159"/>
      <c r="H26" s="159"/>
      <c r="I26" s="159"/>
      <c r="J26" s="159"/>
    </row>
    <row r="27" customFormat="false" ht="24.75" hidden="false" customHeight="true" outlineLevel="0" collapsed="false">
      <c r="B27" s="160" t="s">
        <v>167</v>
      </c>
      <c r="C27" s="160"/>
      <c r="D27" s="160"/>
      <c r="E27" s="160"/>
      <c r="F27" s="160"/>
      <c r="G27" s="160"/>
      <c r="H27" s="160"/>
      <c r="I27" s="160"/>
      <c r="J27" s="160"/>
    </row>
    <row r="28" customFormat="false" ht="15" hidden="false" customHeight="false" outlineLevel="0" collapsed="false">
      <c r="B28" s="161" t="s">
        <v>168</v>
      </c>
      <c r="C28" s="161"/>
      <c r="D28" s="161"/>
      <c r="E28" s="161"/>
      <c r="F28" s="161"/>
      <c r="G28" s="161"/>
      <c r="H28" s="161"/>
      <c r="I28" s="161"/>
      <c r="J28" s="161"/>
    </row>
    <row r="29" customFormat="false" ht="30.75" hidden="false" customHeight="true" outlineLevel="0" collapsed="false">
      <c r="B29" s="162" t="s">
        <v>137</v>
      </c>
      <c r="C29" s="162"/>
      <c r="D29" s="162" t="s">
        <v>169</v>
      </c>
      <c r="E29" s="162"/>
      <c r="F29" s="162" t="s">
        <v>170</v>
      </c>
      <c r="G29" s="162"/>
      <c r="H29" s="162"/>
      <c r="I29" s="162"/>
      <c r="J29" s="162"/>
    </row>
    <row r="30" customFormat="false" ht="27" hidden="false" customHeight="true" outlineLevel="0" collapsed="false">
      <c r="B30" s="160" t="s">
        <v>171</v>
      </c>
      <c r="C30" s="160"/>
      <c r="D30" s="160"/>
      <c r="E30" s="160"/>
      <c r="F30" s="160"/>
      <c r="G30" s="160"/>
      <c r="H30" s="160"/>
      <c r="I30" s="160"/>
      <c r="J30" s="160"/>
    </row>
    <row r="31" customFormat="false" ht="10.5" hidden="false" customHeight="true" outlineLevel="0" collapsed="false">
      <c r="B31" s="163" t="s">
        <v>172</v>
      </c>
      <c r="C31" s="163"/>
      <c r="D31" s="163"/>
      <c r="E31" s="163"/>
      <c r="F31" s="163"/>
      <c r="G31" s="163"/>
      <c r="H31" s="163"/>
      <c r="I31" s="163"/>
      <c r="J31" s="163"/>
    </row>
    <row r="32" customFormat="false" ht="30" hidden="false" customHeight="true" outlineLevel="0" collapsed="false">
      <c r="B32" s="162" t="s">
        <v>137</v>
      </c>
      <c r="C32" s="162"/>
      <c r="D32" s="162" t="s">
        <v>169</v>
      </c>
      <c r="E32" s="162"/>
      <c r="F32" s="162" t="s">
        <v>170</v>
      </c>
      <c r="G32" s="162"/>
      <c r="H32" s="162"/>
      <c r="I32" s="162"/>
      <c r="J32" s="162"/>
    </row>
    <row r="33" customFormat="false" ht="15" hidden="false" customHeight="false" outlineLevel="0" collapsed="false">
      <c r="A33" s="164" t="s">
        <v>173</v>
      </c>
      <c r="B33" s="164"/>
      <c r="C33" s="164"/>
      <c r="D33" s="165" t="s">
        <v>174</v>
      </c>
      <c r="E33" s="165"/>
    </row>
    <row r="36" customFormat="false" ht="15.75" hidden="false" customHeight="true" outlineLevel="0" collapsed="false">
      <c r="B36" s="166"/>
      <c r="C36" s="167"/>
      <c r="D36" s="168" t="s">
        <v>175</v>
      </c>
      <c r="E36" s="168"/>
      <c r="F36" s="167"/>
      <c r="G36" s="167"/>
      <c r="H36" s="167"/>
      <c r="I36" s="167"/>
      <c r="J36" s="169"/>
    </row>
    <row r="37" customFormat="false" ht="17.25" hidden="false" customHeight="true" outlineLevel="0" collapsed="false">
      <c r="B37" s="170"/>
      <c r="C37" s="42"/>
      <c r="D37" s="171" t="s">
        <v>176</v>
      </c>
      <c r="E37" s="171"/>
      <c r="F37" s="42"/>
      <c r="G37" s="42"/>
      <c r="H37" s="42"/>
      <c r="I37" s="42"/>
      <c r="J37" s="172"/>
    </row>
    <row r="38" customFormat="false" ht="33.75" hidden="false" customHeight="true" outlineLevel="0" collapsed="false">
      <c r="B38" s="143"/>
      <c r="C38" s="173"/>
      <c r="D38" s="173"/>
      <c r="E38" s="173"/>
      <c r="F38" s="173"/>
      <c r="G38" s="173"/>
      <c r="H38" s="173"/>
      <c r="I38" s="173"/>
      <c r="J38" s="49"/>
    </row>
    <row r="39" customFormat="false" ht="33.75" hidden="false" customHeight="true" outlineLevel="0" collapsed="false">
      <c r="B39" s="143"/>
      <c r="C39" s="173"/>
      <c r="D39" s="173"/>
      <c r="E39" s="173"/>
      <c r="F39" s="173"/>
      <c r="G39" s="173"/>
      <c r="H39" s="173"/>
      <c r="I39" s="173"/>
      <c r="J39" s="49"/>
    </row>
    <row r="40" customFormat="false" ht="33.75" hidden="false" customHeight="true" outlineLevel="0" collapsed="false">
      <c r="B40" s="143"/>
      <c r="C40" s="173"/>
      <c r="D40" s="173"/>
      <c r="E40" s="173"/>
      <c r="F40" s="173"/>
      <c r="G40" s="173"/>
      <c r="H40" s="173"/>
      <c r="I40" s="173"/>
      <c r="J40" s="49"/>
    </row>
    <row r="41" customFormat="false" ht="33.75" hidden="false" customHeight="true" outlineLevel="0" collapsed="false">
      <c r="B41" s="143"/>
      <c r="C41" s="173"/>
      <c r="D41" s="173"/>
      <c r="E41" s="173"/>
      <c r="F41" s="173"/>
      <c r="G41" s="173"/>
      <c r="H41" s="173"/>
      <c r="I41" s="173"/>
      <c r="J41" s="49"/>
    </row>
    <row r="42" customFormat="false" ht="33.75" hidden="false" customHeight="true" outlineLevel="0" collapsed="false">
      <c r="B42" s="143"/>
      <c r="C42" s="173"/>
      <c r="D42" s="173"/>
      <c r="E42" s="173"/>
      <c r="F42" s="173"/>
      <c r="G42" s="173"/>
      <c r="H42" s="173"/>
      <c r="I42" s="173"/>
      <c r="J42" s="49"/>
    </row>
    <row r="43" customFormat="false" ht="33.75" hidden="false" customHeight="true" outlineLevel="0" collapsed="false">
      <c r="B43" s="143"/>
      <c r="C43" s="173"/>
      <c r="D43" s="173"/>
      <c r="E43" s="173"/>
      <c r="F43" s="173"/>
      <c r="G43" s="173"/>
      <c r="H43" s="173"/>
      <c r="I43" s="173"/>
      <c r="J43" s="49"/>
    </row>
    <row r="44" customFormat="false" ht="33.75" hidden="false" customHeight="true" outlineLevel="0" collapsed="false">
      <c r="B44" s="143"/>
      <c r="C44" s="173"/>
      <c r="D44" s="173"/>
      <c r="E44" s="173"/>
      <c r="F44" s="173"/>
      <c r="G44" s="173"/>
      <c r="H44" s="173"/>
      <c r="I44" s="173"/>
      <c r="J44" s="49"/>
    </row>
    <row r="45" customFormat="false" ht="33.75" hidden="false" customHeight="true" outlineLevel="0" collapsed="false">
      <c r="B45" s="143"/>
      <c r="C45" s="173"/>
      <c r="D45" s="173"/>
      <c r="E45" s="173"/>
      <c r="F45" s="173"/>
      <c r="G45" s="173"/>
      <c r="H45" s="173"/>
      <c r="I45" s="173"/>
      <c r="J45" s="49"/>
    </row>
    <row r="46" customFormat="false" ht="33.75" hidden="false" customHeight="true" outlineLevel="0" collapsed="false">
      <c r="B46" s="143"/>
      <c r="C46" s="173"/>
      <c r="D46" s="173"/>
      <c r="E46" s="173"/>
      <c r="F46" s="173"/>
      <c r="G46" s="173"/>
      <c r="H46" s="173"/>
      <c r="I46" s="173"/>
      <c r="J46" s="49"/>
    </row>
    <row r="47" customFormat="false" ht="33.75" hidden="false" customHeight="true" outlineLevel="0" collapsed="false">
      <c r="B47" s="143"/>
      <c r="C47" s="173"/>
      <c r="D47" s="173"/>
      <c r="E47" s="173"/>
      <c r="F47" s="173"/>
      <c r="G47" s="173"/>
      <c r="H47" s="173"/>
      <c r="I47" s="173"/>
      <c r="J47" s="49"/>
    </row>
    <row r="48" customFormat="false" ht="33.75" hidden="false" customHeight="true" outlineLevel="0" collapsed="false">
      <c r="B48" s="143"/>
      <c r="C48" s="173"/>
      <c r="D48" s="173"/>
      <c r="E48" s="173"/>
      <c r="F48" s="173"/>
      <c r="G48" s="173"/>
      <c r="H48" s="173"/>
      <c r="I48" s="173"/>
      <c r="J48" s="49"/>
    </row>
    <row r="49" customFormat="false" ht="33.75" hidden="false" customHeight="true" outlineLevel="0" collapsed="false">
      <c r="B49" s="143"/>
      <c r="C49" s="173"/>
      <c r="D49" s="173"/>
      <c r="E49" s="173"/>
      <c r="F49" s="173"/>
      <c r="G49" s="173"/>
      <c r="H49" s="173"/>
      <c r="I49" s="173"/>
      <c r="J49" s="49"/>
    </row>
    <row r="50" customFormat="false" ht="33.75" hidden="false" customHeight="true" outlineLevel="0" collapsed="false">
      <c r="B50" s="143"/>
      <c r="C50" s="173"/>
      <c r="D50" s="173"/>
      <c r="E50" s="173"/>
      <c r="F50" s="173"/>
      <c r="G50" s="173"/>
      <c r="H50" s="173"/>
      <c r="I50" s="173"/>
      <c r="J50" s="49"/>
    </row>
    <row r="51" customFormat="false" ht="33.75" hidden="false" customHeight="true" outlineLevel="0" collapsed="false">
      <c r="B51" s="174" t="s">
        <v>177</v>
      </c>
      <c r="C51" s="174"/>
      <c r="D51" s="174"/>
      <c r="E51" s="174"/>
      <c r="F51" s="174"/>
      <c r="G51" s="174"/>
      <c r="H51" s="174"/>
      <c r="I51" s="174"/>
      <c r="J51" s="174"/>
    </row>
    <row r="52" customFormat="false" ht="26.25" hidden="false" customHeight="true" outlineLevel="0" collapsed="false">
      <c r="B52" s="175" t="s">
        <v>178</v>
      </c>
      <c r="C52" s="175"/>
      <c r="D52" s="175"/>
      <c r="E52" s="175"/>
      <c r="F52" s="175"/>
      <c r="G52" s="175"/>
      <c r="H52" s="175"/>
      <c r="I52" s="175"/>
      <c r="J52" s="175"/>
    </row>
    <row r="53" customFormat="false" ht="37.5" hidden="false" customHeight="true" outlineLevel="0" collapsed="false">
      <c r="B53" s="176" t="s">
        <v>179</v>
      </c>
      <c r="C53" s="176"/>
      <c r="D53" s="176"/>
      <c r="E53" s="176"/>
      <c r="F53" s="176"/>
      <c r="G53" s="176"/>
      <c r="H53" s="176"/>
      <c r="I53" s="176"/>
      <c r="J53" s="176"/>
    </row>
    <row r="54" customFormat="false" ht="37.5" hidden="false" customHeight="true" outlineLevel="0" collapsed="false">
      <c r="B54" s="176" t="s">
        <v>180</v>
      </c>
      <c r="C54" s="176"/>
      <c r="D54" s="176"/>
      <c r="E54" s="176"/>
      <c r="F54" s="176"/>
      <c r="G54" s="176"/>
      <c r="H54" s="176"/>
      <c r="I54" s="176"/>
      <c r="J54" s="176"/>
    </row>
    <row r="55" customFormat="false" ht="61.5" hidden="false" customHeight="true" outlineLevel="0" collapsed="false">
      <c r="B55" s="176" t="s">
        <v>181</v>
      </c>
      <c r="C55" s="176"/>
      <c r="D55" s="176"/>
      <c r="E55" s="176"/>
      <c r="F55" s="176"/>
      <c r="G55" s="176"/>
      <c r="H55" s="176"/>
      <c r="I55" s="176"/>
      <c r="J55" s="176"/>
    </row>
    <row r="56" customFormat="false" ht="32.25" hidden="false" customHeight="true" outlineLevel="0" collapsed="false">
      <c r="B56" s="176" t="s">
        <v>182</v>
      </c>
      <c r="C56" s="176"/>
      <c r="D56" s="176"/>
      <c r="E56" s="176"/>
      <c r="F56" s="176"/>
      <c r="G56" s="176"/>
      <c r="H56" s="176"/>
      <c r="I56" s="176"/>
      <c r="J56" s="176"/>
    </row>
    <row r="57" customFormat="false" ht="21" hidden="false" customHeight="true" outlineLevel="0" collapsed="false">
      <c r="B57" s="177"/>
      <c r="C57" s="178"/>
      <c r="D57" s="178"/>
      <c r="E57" s="178"/>
      <c r="F57" s="178"/>
      <c r="G57" s="178"/>
      <c r="H57" s="178"/>
      <c r="I57" s="178"/>
      <c r="J57" s="179"/>
    </row>
    <row r="58" customFormat="false" ht="15" hidden="false" customHeight="false" outlineLevel="0" collapsed="false">
      <c r="A58" s="180" t="s">
        <v>183</v>
      </c>
    </row>
  </sheetData>
  <mergeCells count="58">
    <mergeCell ref="B2:G2"/>
    <mergeCell ref="H2:J2"/>
    <mergeCell ref="B3:J3"/>
    <mergeCell ref="B4:C4"/>
    <mergeCell ref="D4:F4"/>
    <mergeCell ref="G4:J4"/>
    <mergeCell ref="B5:C5"/>
    <mergeCell ref="G5:J5"/>
    <mergeCell ref="B6:C6"/>
    <mergeCell ref="D6:F6"/>
    <mergeCell ref="G6:J6"/>
    <mergeCell ref="B7:C7"/>
    <mergeCell ref="B8:C8"/>
    <mergeCell ref="D8:J8"/>
    <mergeCell ref="B9:E9"/>
    <mergeCell ref="F9:J9"/>
    <mergeCell ref="D10:E10"/>
    <mergeCell ref="G10:H10"/>
    <mergeCell ref="D11:E11"/>
    <mergeCell ref="G11:H11"/>
    <mergeCell ref="G12:H12"/>
    <mergeCell ref="G13:H13"/>
    <mergeCell ref="G14:H14"/>
    <mergeCell ref="G15:H15"/>
    <mergeCell ref="G16:H16"/>
    <mergeCell ref="G17:H17"/>
    <mergeCell ref="G18:H18"/>
    <mergeCell ref="G19:H19"/>
    <mergeCell ref="G20:H20"/>
    <mergeCell ref="G21:H21"/>
    <mergeCell ref="G22:H22"/>
    <mergeCell ref="B23:J23"/>
    <mergeCell ref="B24:C24"/>
    <mergeCell ref="D24:E24"/>
    <mergeCell ref="F24:J24"/>
    <mergeCell ref="B25:C25"/>
    <mergeCell ref="D25:E25"/>
    <mergeCell ref="F25:J25"/>
    <mergeCell ref="B26:J26"/>
    <mergeCell ref="B27:J27"/>
    <mergeCell ref="B28:J28"/>
    <mergeCell ref="B29:C29"/>
    <mergeCell ref="D29:E29"/>
    <mergeCell ref="F29:J29"/>
    <mergeCell ref="B30:J30"/>
    <mergeCell ref="B31:J31"/>
    <mergeCell ref="B32:C32"/>
    <mergeCell ref="D32:E32"/>
    <mergeCell ref="F32:J32"/>
    <mergeCell ref="A33:C33"/>
    <mergeCell ref="D36:E36"/>
    <mergeCell ref="D37:E37"/>
    <mergeCell ref="B51:J51"/>
    <mergeCell ref="B52:J52"/>
    <mergeCell ref="B53:J53"/>
    <mergeCell ref="B54:J54"/>
    <mergeCell ref="B55:J55"/>
    <mergeCell ref="B56:J56"/>
  </mergeCells>
  <printOptions headings="false" gridLines="false" gridLinesSet="true" horizontalCentered="true" verticalCentered="false"/>
  <pageMargins left="0.05" right="0.05" top="0.25" bottom="0.3"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L8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5" activeCellId="0" sqref="H5"/>
    </sheetView>
  </sheetViews>
  <sheetFormatPr defaultColWidth="8.56640625" defaultRowHeight="15" zeroHeight="false" outlineLevelRow="0" outlineLevelCol="0"/>
  <sheetData>
    <row r="2" customFormat="false" ht="15" hidden="false" customHeight="false" outlineLevel="0" collapsed="false">
      <c r="H2" s="6" t="s">
        <v>184</v>
      </c>
    </row>
    <row r="3" customFormat="false" ht="69" hidden="false" customHeight="true" outlineLevel="0" collapsed="false"/>
    <row r="4" customFormat="false" ht="18.55" hidden="false" customHeight="false" outlineLevel="0" collapsed="false">
      <c r="C4" s="181" t="s">
        <v>185</v>
      </c>
      <c r="H4" s="6" t="s">
        <v>186</v>
      </c>
      <c r="L4" s="6" t="s">
        <v>187</v>
      </c>
    </row>
    <row r="5" customFormat="false" ht="15" hidden="false" customHeight="false" outlineLevel="0" collapsed="false">
      <c r="L5" s="6" t="s">
        <v>188</v>
      </c>
    </row>
    <row r="6" customFormat="false" ht="15" hidden="false" customHeight="false" outlineLevel="0" collapsed="false">
      <c r="B6" s="182" t="s">
        <v>189</v>
      </c>
    </row>
    <row r="8" customFormat="false" ht="15" hidden="false" customHeight="false" outlineLevel="0" collapsed="false">
      <c r="A8" s="91" t="n">
        <v>1</v>
      </c>
      <c r="B8" s="6" t="s">
        <v>190</v>
      </c>
    </row>
    <row r="10" customFormat="false" ht="15" hidden="false" customHeight="false" outlineLevel="0" collapsed="false">
      <c r="A10" s="91" t="n">
        <v>2</v>
      </c>
      <c r="B10" s="6" t="s">
        <v>191</v>
      </c>
    </row>
    <row r="11" customFormat="false" ht="15" hidden="false" customHeight="false" outlineLevel="0" collapsed="false">
      <c r="C11" s="183" t="s">
        <v>192</v>
      </c>
      <c r="D11" s="6" t="s">
        <v>193</v>
      </c>
    </row>
    <row r="12" customFormat="false" ht="15" hidden="false" customHeight="false" outlineLevel="0" collapsed="false">
      <c r="D12" s="6"/>
    </row>
    <row r="13" customFormat="false" ht="15" hidden="false" customHeight="false" outlineLevel="0" collapsed="false">
      <c r="A13" s="91" t="n">
        <v>3</v>
      </c>
      <c r="B13" s="6" t="s">
        <v>194</v>
      </c>
    </row>
    <row r="23" customFormat="false" ht="15" hidden="false" customHeight="false" outlineLevel="0" collapsed="false">
      <c r="B23" s="6" t="s">
        <v>195</v>
      </c>
    </row>
    <row r="55" customFormat="false" ht="15" hidden="false" customHeight="false" outlineLevel="0" collapsed="false">
      <c r="C55" s="6" t="s">
        <v>196</v>
      </c>
    </row>
    <row r="57" customFormat="false" ht="15" hidden="false" customHeight="false" outlineLevel="0" collapsed="false">
      <c r="C57" s="182"/>
    </row>
    <row r="62" customFormat="false" ht="17.35" hidden="false" customHeight="false" outlineLevel="0" collapsed="false">
      <c r="B62" s="184" t="s">
        <v>197</v>
      </c>
    </row>
    <row r="64" customFormat="false" ht="15" hidden="false" customHeight="false" outlineLevel="0" collapsed="false">
      <c r="A64" s="91" t="n">
        <v>1</v>
      </c>
      <c r="B64" s="6" t="s">
        <v>198</v>
      </c>
    </row>
    <row r="66" customFormat="false" ht="15" hidden="false" customHeight="false" outlineLevel="0" collapsed="false">
      <c r="A66" s="91" t="n">
        <v>2</v>
      </c>
      <c r="B66" s="6" t="s">
        <v>199</v>
      </c>
    </row>
    <row r="76" customFormat="false" ht="15" hidden="false" customHeight="false" outlineLevel="0" collapsed="false">
      <c r="A76" s="91" t="n">
        <v>3</v>
      </c>
      <c r="B76" s="6" t="s">
        <v>200</v>
      </c>
    </row>
    <row r="86" customFormat="false" ht="15" hidden="false" customHeight="false" outlineLevel="0" collapsed="false">
      <c r="A86" s="91" t="n">
        <v>4</v>
      </c>
      <c r="B86" s="6" t="s">
        <v>201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FBD7F6BD7F394CB2B99BB921073DBE" ma:contentTypeVersion="19" ma:contentTypeDescription="Create a new document." ma:contentTypeScope="" ma:versionID="61f2457cc1786f7bb8376b72f57ca2fc">
  <xsd:schema xmlns:xsd="http://www.w3.org/2001/XMLSchema" xmlns:xs="http://www.w3.org/2001/XMLSchema" xmlns:p="http://schemas.microsoft.com/office/2006/metadata/properties" xmlns:ns2="4afb86ad-4a8c-461f-8326-42be00b8623a" xmlns:ns3="d208e06e-7a35-49fc-83a1-d0848ed9459e" targetNamespace="http://schemas.microsoft.com/office/2006/metadata/properties" ma:root="true" ma:fieldsID="9d6cbbb11b3320d778be09f7ab76c4fa" ns2:_="" ns3:_="">
    <xsd:import namespace="4afb86ad-4a8c-461f-8326-42be00b8623a"/>
    <xsd:import namespace="d208e06e-7a35-49fc-83a1-d0848ed9459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DateTaken" minOccurs="0"/>
                <xsd:element ref="ns3:SharedWithUsers" minOccurs="0"/>
                <xsd:element ref="ns3:SharedWithDetails" minOccurs="0"/>
                <xsd:element ref="ns2:MediaServiceOCR" minOccurs="0"/>
                <xsd:element ref="ns2:MediaServiceLocation" minOccurs="0"/>
                <xsd:element ref="ns2:Access"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fb86ad-4a8c-461f-8326-42be00b8623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Access" ma:index="16" nillable="true" ma:displayName="Access" ma:list="UserInfo" ma:SharePointGroup="0" ma:internalName="Access"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b34005c5-2599-47bd-9aea-d4ab9f22d83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208e06e-7a35-49fc-83a1-d0848ed9459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0ec018ac-ad1f-450b-b9be-da7c41c8bd5b}" ma:internalName="TaxCatchAll" ma:showField="CatchAllData" ma:web="d208e06e-7a35-49fc-83a1-d0848ed9459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Access xmlns="4afb86ad-4a8c-461f-8326-42be00b8623a">
      <UserInfo>
        <DisplayName/>
        <AccountId xsi:nil="true"/>
        <AccountType/>
      </UserInfo>
    </Access>
    <lcf76f155ced4ddcb4097134ff3c332f xmlns="4afb86ad-4a8c-461f-8326-42be00b8623a">
      <Terms xmlns="http://schemas.microsoft.com/office/infopath/2007/PartnerControls"/>
    </lcf76f155ced4ddcb4097134ff3c332f>
    <TaxCatchAll xmlns="d208e06e-7a35-49fc-83a1-d0848ed9459e" xsi:nil="true"/>
  </documentManagement>
</p:properties>
</file>

<file path=customXml/itemProps1.xml><?xml version="1.0" encoding="utf-8"?>
<ds:datastoreItem xmlns:ds="http://schemas.openxmlformats.org/officeDocument/2006/customXml" ds:itemID="{8E769A5B-8089-4D16-9EA1-1386B8924F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fb86ad-4a8c-461f-8326-42be00b8623a"/>
    <ds:schemaRef ds:uri="d208e06e-7a35-49fc-83a1-d0848ed945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A5172A2-5B48-4845-BE7D-F825339D5869}">
  <ds:schemaRefs>
    <ds:schemaRef ds:uri="http://schemas.microsoft.com/sharepoint/v3/contenttype/forms"/>
  </ds:schemaRefs>
</ds:datastoreItem>
</file>

<file path=customXml/itemProps3.xml><?xml version="1.0" encoding="utf-8"?>
<ds:datastoreItem xmlns:ds="http://schemas.openxmlformats.org/officeDocument/2006/customXml" ds:itemID="{19886A4B-F640-42CF-B302-7A7715F05C95}">
  <ds:schemaRefs>
    <ds:schemaRef ds:uri="http://schemas.microsoft.com/office/2006/metadata/properties"/>
    <ds:schemaRef ds:uri="http://schemas.microsoft.com/office/infopath/2007/PartnerControls"/>
    <ds:schemaRef ds:uri="4afb86ad-4a8c-461f-8326-42be00b8623a"/>
    <ds:schemaRef ds:uri="d208e06e-7a35-49fc-83a1-d0848ed9459e"/>
  </ds:schemaRefs>
</ds:datastoreItem>
</file>

<file path=docProps/app.xml><?xml version="1.0" encoding="utf-8"?>
<Properties xmlns="http://schemas.openxmlformats.org/officeDocument/2006/extended-properties" xmlns:vt="http://schemas.openxmlformats.org/officeDocument/2006/docPropsVTypes">
  <Template/>
  <TotalTime>9</TotalTime>
  <Application>LibreOffice/24.8.7.2$Linux_X86_64 LibreOffice_project/f4f281f562fb585d46b0af5755dfe1eb6adc047f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1997-12-01T22:38:28Z</dcterms:created>
  <dc:creator>Lee Paul</dc:creator>
  <dc:description/>
  <dc:language>en-US</dc:language>
  <cp:lastModifiedBy/>
  <cp:lastPrinted>2025-04-09T17:36:49Z</cp:lastPrinted>
  <dcterms:modified xsi:type="dcterms:W3CDTF">2025-05-26T12:21:04Z</dcterms:modified>
  <cp:revision>1</cp:revision>
  <dc:subject/>
  <dc:title>SUBMITTAL REGISTER</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0x01010056FBD7F6BD7F394CB2B99BB921073DBE</vt:lpwstr>
  </property>
  <property fmtid="{D5CDD505-2E9C-101B-9397-08002B2CF9AE}" pid="3" name="MediaServiceImageTags">
    <vt:lpwstr/>
  </property>
</Properties>
</file>